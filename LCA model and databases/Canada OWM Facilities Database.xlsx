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"/>
    </mc:Choice>
  </mc:AlternateContent>
  <xr:revisionPtr revIDLastSave="0" documentId="13_ncr:1_{01F49773-C86E-4B00-8805-9A6C4014D487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LCI" sheetId="1" r:id="rId1"/>
    <sheet name="Comparing models" sheetId="6" r:id="rId2"/>
    <sheet name="GHGRP Landfill Gas Inventory" sheetId="9" r:id="rId3"/>
    <sheet name="Transportation" sheetId="2" r:id="rId4"/>
    <sheet name="Landfill Equations (WARM)" sheetId="3" r:id="rId5"/>
    <sheet name="Natural gas credit" sheetId="5" r:id="rId6"/>
    <sheet name="Fertilizer credit for compos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1" i="1" l="1"/>
  <c r="D6" i="4"/>
  <c r="D5" i="4"/>
  <c r="D7" i="4"/>
  <c r="A38" i="4"/>
  <c r="C5" i="4"/>
  <c r="D4" i="4"/>
  <c r="A54" i="4" s="1"/>
  <c r="F4" i="4"/>
  <c r="A53" i="4" l="1"/>
  <c r="A52" i="4"/>
  <c r="D704" i="1" l="1"/>
  <c r="A700" i="1" l="1"/>
  <c r="J8" i="9"/>
  <c r="J9" i="9"/>
  <c r="J7" i="9"/>
  <c r="F29" i="9"/>
  <c r="L18" i="9"/>
  <c r="F18" i="9"/>
  <c r="R6" i="9"/>
  <c r="G11" i="5" l="1"/>
  <c r="B10" i="5"/>
  <c r="B12" i="5"/>
  <c r="C44" i="4" l="1"/>
  <c r="A593" i="1"/>
  <c r="A610" i="1"/>
  <c r="A627" i="1"/>
  <c r="A646" i="1"/>
  <c r="A663" i="1"/>
  <c r="A680" i="1"/>
  <c r="E24" i="6"/>
  <c r="B13" i="5"/>
  <c r="D202" i="1" l="1"/>
  <c r="D229" i="1"/>
  <c r="D256" i="1"/>
  <c r="D277" i="1"/>
  <c r="D681" i="1"/>
  <c r="D664" i="1"/>
  <c r="D647" i="1"/>
  <c r="D628" i="1"/>
  <c r="D611" i="1"/>
  <c r="D594" i="1"/>
  <c r="D578" i="1" l="1"/>
  <c r="D559" i="1"/>
  <c r="D547" i="1"/>
  <c r="D546" i="1"/>
  <c r="D545" i="1"/>
  <c r="D544" i="1"/>
  <c r="D543" i="1"/>
  <c r="G531" i="1"/>
  <c r="D527" i="1"/>
  <c r="D510" i="1"/>
  <c r="E21" i="6"/>
  <c r="E23" i="6"/>
  <c r="E22" i="6"/>
  <c r="D493" i="1"/>
  <c r="F577" i="1"/>
  <c r="A577" i="1"/>
  <c r="F558" i="1"/>
  <c r="A558" i="1"/>
  <c r="F542" i="1"/>
  <c r="A542" i="1"/>
  <c r="F526" i="1"/>
  <c r="A526" i="1"/>
  <c r="F509" i="1"/>
  <c r="A509" i="1"/>
  <c r="F492" i="1"/>
  <c r="A492" i="1"/>
  <c r="A473" i="1"/>
  <c r="D455" i="1"/>
  <c r="D476" i="1" s="1"/>
  <c r="A45" i="4"/>
  <c r="D440" i="1"/>
  <c r="D438" i="1"/>
  <c r="A39" i="4"/>
  <c r="D439" i="1" s="1"/>
  <c r="B44" i="4"/>
  <c r="B43" i="4"/>
  <c r="A452" i="1"/>
  <c r="D403" i="1"/>
  <c r="D428" i="1"/>
  <c r="D430" i="1" s="1"/>
  <c r="A420" i="1"/>
  <c r="A394" i="1"/>
  <c r="A67" i="1"/>
  <c r="A363" i="1"/>
  <c r="D380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F363" i="1"/>
  <c r="E363" i="1"/>
  <c r="E364" i="1" s="1"/>
  <c r="A40" i="4"/>
  <c r="A22" i="4"/>
  <c r="C7" i="4"/>
  <c r="A31" i="4" s="1"/>
  <c r="C6" i="4"/>
  <c r="A47" i="4" s="1"/>
  <c r="A32" i="4"/>
  <c r="A24" i="4"/>
  <c r="F5" i="4"/>
  <c r="F6" i="4"/>
  <c r="F7" i="4"/>
  <c r="A46" i="4" l="1"/>
  <c r="A33" i="4"/>
  <c r="G32" i="6"/>
  <c r="D85" i="1" l="1"/>
  <c r="G137" i="1"/>
  <c r="G187" i="1"/>
  <c r="D172" i="1"/>
  <c r="D155" i="1" s="1"/>
  <c r="D153" i="1"/>
  <c r="D97" i="1"/>
  <c r="D189" i="1" l="1"/>
  <c r="F11" i="6" l="1"/>
  <c r="D100" i="1" l="1"/>
  <c r="D84" i="1" l="1"/>
  <c r="D44" i="1"/>
  <c r="D45" i="1"/>
  <c r="D46" i="1"/>
  <c r="F327" i="1"/>
  <c r="E299" i="1" l="1"/>
  <c r="E346" i="1" l="1"/>
  <c r="A346" i="1"/>
  <c r="E327" i="1"/>
  <c r="E328" i="1" s="1"/>
  <c r="A327" i="1" l="1"/>
  <c r="D183" i="1"/>
  <c r="F182" i="1"/>
  <c r="A182" i="1"/>
  <c r="D166" i="1"/>
  <c r="F165" i="1"/>
  <c r="A165" i="1"/>
  <c r="D130" i="1"/>
  <c r="D113" i="1"/>
  <c r="F129" i="1"/>
  <c r="A129" i="1"/>
  <c r="A112" i="1"/>
  <c r="F112" i="1"/>
  <c r="D149" i="1"/>
  <c r="D96" i="1"/>
  <c r="E67" i="1"/>
  <c r="E68" i="1" s="1"/>
  <c r="B6" i="5" l="1"/>
  <c r="F199" i="1"/>
  <c r="A199" i="1"/>
  <c r="F226" i="1"/>
  <c r="A226" i="1"/>
  <c r="A274" i="1"/>
  <c r="F274" i="1"/>
  <c r="A299" i="1"/>
  <c r="D310" i="1"/>
  <c r="D309" i="1"/>
  <c r="D308" i="1"/>
  <c r="D307" i="1"/>
  <c r="D306" i="1"/>
  <c r="D305" i="1"/>
  <c r="D304" i="1"/>
  <c r="D303" i="1"/>
  <c r="D302" i="1"/>
  <c r="D301" i="1"/>
  <c r="D300" i="1"/>
  <c r="F299" i="1"/>
  <c r="A23" i="4"/>
  <c r="A14" i="4"/>
  <c r="L5" i="4" s="1"/>
  <c r="A15" i="4"/>
  <c r="L3" i="4" s="1"/>
  <c r="A13" i="4"/>
  <c r="L4" i="4" s="1"/>
  <c r="D72" i="1"/>
  <c r="D37" i="1"/>
  <c r="E35" i="1" l="1"/>
  <c r="E34" i="1"/>
  <c r="D19" i="3"/>
  <c r="D15" i="3"/>
  <c r="D3" i="3"/>
  <c r="F253" i="1"/>
  <c r="F148" i="1"/>
  <c r="A148" i="1"/>
  <c r="F95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F67" i="1"/>
  <c r="D43" i="1"/>
  <c r="D42" i="1"/>
  <c r="D41" i="1"/>
  <c r="D40" i="1"/>
  <c r="D38" i="1"/>
  <c r="D36" i="1"/>
  <c r="D35" i="1"/>
  <c r="F34" i="1"/>
</calcChain>
</file>

<file path=xl/sharedStrings.xml><?xml version="1.0" encoding="utf-8"?>
<sst xmlns="http://schemas.openxmlformats.org/spreadsheetml/2006/main" count="3266" uniqueCount="352">
  <si>
    <t>Database</t>
  </si>
  <si>
    <t>OWM LCA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</si>
  <si>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</si>
  <si>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</si>
  <si>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</si>
  <si>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</si>
  <si>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</si>
  <si>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</si>
  <si>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</si>
  <si>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</si>
  <si>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</si>
  <si>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</si>
  <si>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</si>
  <si>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</si>
  <si>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</si>
  <si>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</si>
  <si>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</si>
  <si>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</si>
  <si>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</si>
  <si>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</si>
  <si>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</si>
  <si>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</si>
  <si>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</si>
  <si>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</si>
  <si>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</si>
  <si>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</si>
  <si>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</si>
  <si>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</si>
  <si>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</si>
  <si>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</si>
  <si>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</si>
  <si>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adapted from Lewerenz et al., 2023; represents montreal CTMO</t>
  </si>
  <si>
    <t>DE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</si>
  <si>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</si>
  <si>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</si>
  <si>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</si>
  <si>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</si>
  <si>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</si>
  <si>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</si>
  <si>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</si>
  <si>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</si>
  <si>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</si>
  <si>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municipal waste collection service by 21 metric ton lorry</t>
  </si>
  <si>
    <t>municipal waste collection service by 21 metric ton lorry</t>
  </si>
  <si>
    <t>ton kilometer</t>
  </si>
  <si>
    <t>market for transport, freight, lorry &gt;32 metric ton, EURO5</t>
  </si>
  <si>
    <t>transport, freight, lorry &gt;32 metric ton, EURO5</t>
  </si>
  <si>
    <t>RER</t>
  </si>
  <si>
    <t>composting facility construction, open</t>
  </si>
  <si>
    <t>composting facility, open</t>
  </si>
  <si>
    <t>RoW</t>
  </si>
  <si>
    <t>input, this is more specified in the original LCA</t>
  </si>
  <si>
    <t>market for municipal solid waste</t>
  </si>
  <si>
    <t>municipal solid waste</t>
  </si>
  <si>
    <t>kilogram</t>
  </si>
  <si>
    <t>market for wastewater, average</t>
  </si>
  <si>
    <t>wastewater, average</t>
  </si>
  <si>
    <t>cubic meter</t>
  </si>
  <si>
    <t>Europe without Switzerland</t>
  </si>
  <si>
    <t>water</t>
  </si>
  <si>
    <t>biosphere</t>
  </si>
  <si>
    <t>air</t>
  </si>
  <si>
    <t>output, not sure if this is an elementary flow or technosphere, just said water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</si>
  <si>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</si>
  <si>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</si>
  <si>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</si>
  <si>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</si>
  <si>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</si>
  <si>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</si>
  <si>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adapted from Lewerenz et al., 2023; represents montreal biomethanization plant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</si>
  <si>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</si>
  <si>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</si>
  <si>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</si>
  <si>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</si>
  <si>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</si>
  <si>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</si>
  <si>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</si>
  <si>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</si>
  <si>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</si>
  <si>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</si>
  <si>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digester sludge, Recycled Content cut-off</t>
  </si>
  <si>
    <t>digester sludge</t>
  </si>
  <si>
    <t>kwh</t>
  </si>
  <si>
    <t>Transportation Distance</t>
  </si>
  <si>
    <t xml:space="preserve">Montreal-est TS Adress: </t>
  </si>
  <si>
    <t>9000, place Marien, Montréal-Est</t>
  </si>
  <si>
    <t>Facility</t>
  </si>
  <si>
    <t xml:space="preserve">Distance </t>
  </si>
  <si>
    <t>units</t>
  </si>
  <si>
    <t>Address</t>
  </si>
  <si>
    <t>Note</t>
  </si>
  <si>
    <t>km</t>
  </si>
  <si>
    <t>6985, chemin des Sources, Lachute</t>
  </si>
  <si>
    <t>general canadian facility, no transport</t>
  </si>
  <si>
    <t>Warm model parameters (MSW landfilling of Mixed Organics; LFG recovery and electricity generation, typical collection, wet conditions (k=0.06))</t>
  </si>
  <si>
    <t>Process and parameters</t>
  </si>
  <si>
    <t>Equation (if applicable)</t>
  </si>
  <si>
    <t>Unit</t>
  </si>
  <si>
    <t>Value</t>
  </si>
  <si>
    <t>Notes</t>
  </si>
  <si>
    <t>Electricity at grid</t>
  </si>
  <si>
    <t>electricity_from_CH4*CH4_recovered_for_energy*(1-system_down_time)*(final_yield_CH4*(1-moisture_content_mixed_organics)/tonne_to_sh_tn)</t>
  </si>
  <si>
    <t>electricity_from_CH4</t>
  </si>
  <si>
    <t>CH4_calorific_value*net_capacity*kWh_per_BTU_CH4/(density_CH4_for_electricity/1000000)</t>
  </si>
  <si>
    <t>CH4_recovered_for_energy</t>
  </si>
  <si>
    <t>%1. Source: Barlaz data</t>
  </si>
  <si>
    <t>system_down_time</t>
  </si>
  <si>
    <t>final_yield_CH4</t>
  </si>
  <si>
    <t>(1.24384729900016/GWP_CH4)*tonne_to_sh_tn/(1- moisture_content_mixed_organics)</t>
  </si>
  <si>
    <t>moisture_content_mixed_organics</t>
  </si>
  <si>
    <t>tonne_to_sh_tn</t>
  </si>
  <si>
    <t>Conversion of units from metric tonnes to short tons</t>
  </si>
  <si>
    <t>CH4_calorific_value</t>
  </si>
  <si>
    <t>BTU/m3 methane. Source: EPA 2013. LMOP Benefits Calculator</t>
  </si>
  <si>
    <t>net_capacity</t>
  </si>
  <si>
    <t>%1. Source: EPA 2005. LMOP Net capacity factor for generation units (availability, operating load, parasitic losses).</t>
  </si>
  <si>
    <t>density_CH4_for_electricity</t>
  </si>
  <si>
    <t>g/ft3</t>
  </si>
  <si>
    <t>kWh_per_BTU_CH4</t>
  </si>
  <si>
    <t>kWh of electricity generated per BTU methane. Source:  EPA 2005. LMOP Benefits Calculator.</t>
  </si>
  <si>
    <t>GWP_CH4</t>
  </si>
  <si>
    <t>IPCC 2007</t>
  </si>
  <si>
    <t>Carbon</t>
  </si>
  <si>
    <t>C_storage_final *(1-moisture_content_mixed_organics)/tonne_to_sh_tn</t>
  </si>
  <si>
    <t>t</t>
  </si>
  <si>
    <t>C_storage_final</t>
  </si>
  <si>
    <t>0.29606255454107*tonne_to_sh_tn/((1- moisture_content_mixed_organics)*C_to_CO2)</t>
  </si>
  <si>
    <t>C_to_CO2</t>
  </si>
  <si>
    <t>Conversion from carbon to CO2 according to molecular weights</t>
  </si>
  <si>
    <t>Methane</t>
  </si>
  <si>
    <t>CH4_emitted_final*final_yield_CH4*(1-moisture_content_mixed_organics)/tonne_to_sh_tn</t>
  </si>
  <si>
    <t>CH4_emitted_final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</si>
  <si>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</si>
  <si>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</si>
  <si>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</si>
  <si>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</si>
  <si>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</si>
  <si>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</si>
  <si>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Terrebonne compost</t>
  </si>
  <si>
    <t>source</t>
  </si>
  <si>
    <t>ecoinvent-3.8-cutoff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</si>
  <si>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</si>
  <si>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</si>
  <si>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</si>
  <si>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</si>
  <si>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</si>
  <si>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</si>
  <si>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</si>
  <si>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 xml:space="preserve">NS compost </t>
  </si>
  <si>
    <t>lewerenz_Open Composter</t>
  </si>
  <si>
    <t>heating value</t>
  </si>
  <si>
    <t>Landfill gas</t>
  </si>
  <si>
    <t>MJ/m3</t>
  </si>
  <si>
    <t>Natural gas</t>
  </si>
  <si>
    <t>efficiency of LFG relative to NG</t>
  </si>
  <si>
    <t>%</t>
  </si>
  <si>
    <t xml:space="preserve">Annual production of GNR from AD </t>
  </si>
  <si>
    <t>Facility capacity</t>
  </si>
  <si>
    <t>t OW annually</t>
  </si>
  <si>
    <t>GHG report City</t>
  </si>
  <si>
    <t>m3/t OW</t>
  </si>
  <si>
    <t>NS_AD</t>
  </si>
  <si>
    <t>NS_compost</t>
  </si>
  <si>
    <t>CA-NS</t>
  </si>
  <si>
    <t>Colchester Composting Facility in Kemptown, Nova Scotia</t>
  </si>
  <si>
    <t>output, credit as avoided fertilizer because we know it is directly field applied</t>
  </si>
  <si>
    <t>nutrient supply from urea</t>
  </si>
  <si>
    <t>nutrient supply from monoammonium phosphate</t>
  </si>
  <si>
    <t>nutrient supply from potassium chloride</t>
  </si>
  <si>
    <t>soil</t>
  </si>
  <si>
    <t>natural gas, high pressure</t>
  </si>
  <si>
    <t>market for natural gas, high pressure</t>
  </si>
  <si>
    <t xml:space="preserve">empty lorry km </t>
  </si>
  <si>
    <t>sensitivity, 50, 60 %</t>
  </si>
  <si>
    <t>ecoinvent-3.9.1-cutoff</t>
  </si>
  <si>
    <t>ecoinvent-3.9-biosphere</t>
  </si>
  <si>
    <t>OWM Facilities</t>
  </si>
  <si>
    <t>treatment of wastewater, average, wastewater treatment</t>
  </si>
  <si>
    <t>CA</t>
  </si>
  <si>
    <t>NMVOC, non-methane volatile organic compounds</t>
  </si>
  <si>
    <t>nutrient supply from potassium nitrate</t>
  </si>
  <si>
    <t>Courthouse Hill Energy Ltd.</t>
  </si>
  <si>
    <t>market for diesel</t>
  </si>
  <si>
    <t>diesel</t>
  </si>
  <si>
    <t>Annual production of RNG from landfill</t>
  </si>
  <si>
    <t>m3/ton OFMSW</t>
  </si>
  <si>
    <t>Avoided Natural gas AD</t>
  </si>
  <si>
    <t>Avoided Natural gas landfill</t>
  </si>
  <si>
    <t>wastewater</t>
  </si>
  <si>
    <t>NS</t>
  </si>
  <si>
    <t>lewerenz</t>
  </si>
  <si>
    <t>Data source</t>
  </si>
  <si>
    <t xml:space="preserve">general name </t>
  </si>
  <si>
    <t>Windrow Compost</t>
  </si>
  <si>
    <t>Landfill</t>
  </si>
  <si>
    <t>CO2</t>
  </si>
  <si>
    <t>N2O</t>
  </si>
  <si>
    <t>electricity consumed</t>
  </si>
  <si>
    <t xml:space="preserve">SETAC landfill </t>
  </si>
  <si>
    <t>WARM (ghgs in kg)</t>
  </si>
  <si>
    <t>ECCC (kg)</t>
  </si>
  <si>
    <t>diesel (kg)</t>
  </si>
  <si>
    <t>application of digestate</t>
  </si>
  <si>
    <t>boldrin</t>
  </si>
  <si>
    <t xml:space="preserve">Fertilizer credit </t>
  </si>
  <si>
    <t>literature compost</t>
  </si>
  <si>
    <t>literature digestate</t>
  </si>
  <si>
    <t>quality sheet compost</t>
  </si>
  <si>
    <t>quality sheet AD</t>
  </si>
  <si>
    <t xml:space="preserve">NS </t>
  </si>
  <si>
    <t>kg</t>
  </si>
  <si>
    <t xml:space="preserve">nutrient sheets </t>
  </si>
  <si>
    <t>compost</t>
  </si>
  <si>
    <t>digestate</t>
  </si>
  <si>
    <t>moisture content</t>
  </si>
  <si>
    <t>kg N/ t dry compst</t>
  </si>
  <si>
    <t>t wet digestate</t>
  </si>
  <si>
    <t>t dry digestate</t>
  </si>
  <si>
    <t>compost ontario</t>
  </si>
  <si>
    <t>on a wet basis</t>
  </si>
  <si>
    <t>AD_nutrient_sheet</t>
  </si>
  <si>
    <t xml:space="preserve">AD_literature </t>
  </si>
  <si>
    <t>Closed-tunnel Composter (literature)</t>
  </si>
  <si>
    <t>Closed-tunnel Composter (city)</t>
  </si>
  <si>
    <t xml:space="preserve">AD_city </t>
  </si>
  <si>
    <t>adapted from Lewerenz et al., 2023; uses GES report data for CO2, CH4, N2O</t>
  </si>
  <si>
    <t>adapted from Lewerenz et al., 2023; represents montreal CTMO, GES report for CH4, CO2, N2O</t>
  </si>
  <si>
    <t>Closed_composter_city_0702</t>
  </si>
  <si>
    <t>Data provided by Eric at the City</t>
  </si>
  <si>
    <t>city compost</t>
  </si>
  <si>
    <t>sulfuric acid</t>
  </si>
  <si>
    <t>market for sulfuric acid</t>
  </si>
  <si>
    <t>this is weirdly high, making it the highest…</t>
  </si>
  <si>
    <t>Closed_composter_no_N2O</t>
  </si>
  <si>
    <t>terrebonne old</t>
  </si>
  <si>
    <t>terrebonne new</t>
  </si>
  <si>
    <t>city (AD)</t>
  </si>
  <si>
    <t>city (compost)</t>
  </si>
  <si>
    <t>terrebonne my OF</t>
  </si>
  <si>
    <t>terrebonne marwan OF</t>
  </si>
  <si>
    <t>adapted from WARM 2023 + terrebonne data (low organic content)</t>
  </si>
  <si>
    <t>adapted from WARM 2023 + mixed organics k = 0.04</t>
  </si>
  <si>
    <t>Landfill_lachute_WARM</t>
  </si>
  <si>
    <t>Landfill_st-nicephore_WARM</t>
  </si>
  <si>
    <t>Landfill_cecile_de_milton_WARM</t>
  </si>
  <si>
    <t>Landfill_saint_thomas_WARM</t>
  </si>
  <si>
    <t>Landfill_terrebonne_WARM</t>
  </si>
  <si>
    <t>Landfill_saint_sophie_WARM</t>
  </si>
  <si>
    <t>sh tn to t</t>
  </si>
  <si>
    <t>https://www.eia.gov/tools/faqs/faq.php?id=7&amp;t=2</t>
  </si>
  <si>
    <t>for warm diesel is in BTU</t>
  </si>
  <si>
    <t>electricity generated (kwh)</t>
  </si>
  <si>
    <t>Methane, from soil or biomass stock (kg)</t>
  </si>
  <si>
    <t>Carbon (kg)</t>
  </si>
  <si>
    <t>1 btu in litres</t>
  </si>
  <si>
    <t>https://www.eia.gov/energyexplained/units-and-calculators/energy-conversion-calculators.php</t>
  </si>
  <si>
    <t xml:space="preserve">density </t>
  </si>
  <si>
    <t>kg/m3</t>
  </si>
  <si>
    <t>https://www.ic.gc.ca/eic/site/mc-mc.nsf/vwapj/VCF_Diesel.pdf/$file/VCF_Diesel.pdf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</si>
  <si>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</si>
  <si>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</si>
  <si>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</si>
  <si>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</si>
  <si>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</si>
  <si>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</si>
  <si>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High organic content (HOC)</t>
  </si>
  <si>
    <t>Annual production of RNG from AD</t>
  </si>
  <si>
    <t>LFG heating value</t>
  </si>
  <si>
    <t>N/A</t>
  </si>
  <si>
    <t>Distance on google maps from Montreal-Est transfer station to Lachute Landfill</t>
  </si>
  <si>
    <t>Obtained from 2024 report from the City of Montreal</t>
  </si>
  <si>
    <t>0725 organic waste</t>
  </si>
  <si>
    <t>Landfill Name</t>
  </si>
  <si>
    <t>Current LFG Management System (2024)</t>
  </si>
  <si>
    <t>GHGRP ID</t>
  </si>
  <si>
    <t>NPRI ID</t>
  </si>
  <si>
    <t>Lachute</t>
  </si>
  <si>
    <t>Complexe Enviro Connexions</t>
  </si>
  <si>
    <t xml:space="preserve">RNG </t>
  </si>
  <si>
    <t>G10401</t>
  </si>
  <si>
    <t xml:space="preserve">annual organic waste = </t>
  </si>
  <si>
    <t>LET de Lachute</t>
  </si>
  <si>
    <t>Electricity</t>
  </si>
  <si>
    <t>G10538</t>
  </si>
  <si>
    <t>Gas</t>
  </si>
  <si>
    <t>Sum (tonnes)</t>
  </si>
  <si>
    <r>
      <t>Sum (tonnes CO</t>
    </r>
    <r>
      <rPr>
        <b/>
        <u/>
        <sz val="11"/>
        <color rgb="FF333333"/>
        <rFont val="Arial"/>
        <family val="2"/>
      </rPr>
      <t>2</t>
    </r>
    <r>
      <rPr>
        <b/>
        <u/>
        <sz val="15"/>
        <color rgb="FF333333"/>
        <rFont val="Arial"/>
        <family val="2"/>
      </rPr>
      <t> eq )</t>
    </r>
  </si>
  <si>
    <t>tonnes/tonne organic waste in landfill</t>
  </si>
  <si>
    <t>LET de Ste-Sophie</t>
  </si>
  <si>
    <t>Direct Use (RNG under development)</t>
  </si>
  <si>
    <t>G10344</t>
  </si>
  <si>
    <r>
      <t>CO</t>
    </r>
    <r>
      <rPr>
        <b/>
        <u/>
        <sz val="11"/>
        <color rgb="FF333333"/>
        <rFont val="Arial"/>
        <family val="2"/>
      </rPr>
      <t>2</t>
    </r>
  </si>
  <si>
    <t>12 051</t>
  </si>
  <si>
    <t>kg/tonne OFMSW</t>
  </si>
  <si>
    <t>1 174.32</t>
  </si>
  <si>
    <t>1 174</t>
  </si>
  <si>
    <t>LET de St-Nicéphore</t>
  </si>
  <si>
    <t>G10572</t>
  </si>
  <si>
    <r>
      <t>CH</t>
    </r>
    <r>
      <rPr>
        <b/>
        <u/>
        <sz val="11"/>
        <color rgb="FF333333"/>
        <rFont val="Arial"/>
        <family val="2"/>
      </rPr>
      <t>4</t>
    </r>
  </si>
  <si>
    <t>36 364</t>
  </si>
  <si>
    <t>5 773.59</t>
  </si>
  <si>
    <t>161 660</t>
  </si>
  <si>
    <t>2 621.54</t>
  </si>
  <si>
    <t>2 622</t>
  </si>
  <si>
    <t>LET de St-Thomas (Rive-Nord)</t>
  </si>
  <si>
    <t>G10730</t>
  </si>
  <si>
    <r>
      <t>N</t>
    </r>
    <r>
      <rPr>
        <b/>
        <u/>
        <sz val="11"/>
        <color rgb="FF333333"/>
        <rFont val="Arial"/>
        <family val="2"/>
      </rPr>
      <t>2</t>
    </r>
    <r>
      <rPr>
        <b/>
        <u/>
        <sz val="15"/>
        <color rgb="FF333333"/>
        <rFont val="Arial"/>
        <family val="2"/>
      </rPr>
      <t>O</t>
    </r>
  </si>
  <si>
    <t>5 744.96</t>
  </si>
  <si>
    <t>160 859</t>
  </si>
  <si>
    <t>LET Roland Thibault Inc</t>
  </si>
  <si>
    <t>G10633</t>
  </si>
  <si>
    <t>HFCs</t>
  </si>
  <si>
    <t>PFCs</t>
  </si>
  <si>
    <r>
      <t>SF</t>
    </r>
    <r>
      <rPr>
        <b/>
        <u/>
        <sz val="11"/>
        <color rgb="FF333333"/>
        <rFont val="Arial"/>
        <family val="2"/>
      </rPr>
      <t>6</t>
    </r>
  </si>
  <si>
    <t>Total :</t>
  </si>
  <si>
    <t>49 180</t>
  </si>
  <si>
    <t>162 837</t>
  </si>
  <si>
    <t>163 487</t>
  </si>
  <si>
    <t>1 454.46</t>
  </si>
  <si>
    <t>1 454</t>
  </si>
  <si>
    <t>4 298.36</t>
  </si>
  <si>
    <t>4 298</t>
  </si>
  <si>
    <t>5 372.87</t>
  </si>
  <si>
    <t>150 440</t>
  </si>
  <si>
    <t>1 277.00</t>
  </si>
  <si>
    <t>35 756</t>
  </si>
  <si>
    <t>151 998</t>
  </si>
  <si>
    <t>40 393</t>
  </si>
  <si>
    <t>Lachenaie organic waste</t>
  </si>
  <si>
    <t>Lachenaie/Terrebonne</t>
  </si>
  <si>
    <t>Closed_composter_city_final</t>
  </si>
  <si>
    <t>city compost final</t>
  </si>
  <si>
    <t>kg N/ t dry compost</t>
  </si>
  <si>
    <t>1 t OW</t>
  </si>
  <si>
    <t>Chemical factory, organics</t>
  </si>
  <si>
    <t>Activated carbon, granular</t>
  </si>
  <si>
    <t>AD_with biogas upgrading</t>
  </si>
  <si>
    <t>Sulfur dioxide</t>
  </si>
  <si>
    <t>adapted from Lewerenz et al., 2023; uses GES report data for CO2, CH4, N2O; uses upgrading by chemical amine scrubbing from Ncube et al. 2021</t>
  </si>
  <si>
    <t>kWh</t>
  </si>
  <si>
    <t>chemical factory construction, organics</t>
  </si>
  <si>
    <t>market for activated carbon, granular</t>
  </si>
  <si>
    <t>market for water, deionised</t>
  </si>
  <si>
    <t>market for monoethanolamine</t>
  </si>
  <si>
    <t>monoethanolamine</t>
  </si>
  <si>
    <t>market for activated silica</t>
  </si>
  <si>
    <t>activated silica</t>
  </si>
  <si>
    <t>market for electricity, medium voltage</t>
  </si>
  <si>
    <t>electricity, medium voltage</t>
  </si>
  <si>
    <t>water, deionised</t>
  </si>
  <si>
    <t>Monoethanolamine</t>
  </si>
  <si>
    <t>was previously 1 unit…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</si>
</sst>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00E+00"/>
    <numFmt numFmtId="166" formatCode="0.0000000"/>
    <numFmt numFmtId="167" formatCode="0.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000000"/>
      <name val="Aptos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5"/>
      <color rgb="FF333333"/>
      <name val="Arial"/>
      <family val="2"/>
    </font>
    <font>
      <b/>
      <u/>
      <sz val="11"/>
      <color rgb="FF333333"/>
      <name val="Arial"/>
      <family val="2"/>
    </font>
    <font>
      <sz val="15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7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2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1" fontId="0" fillId="0" borderId="2" xfId="0" applyNumberFormat="1" applyBorder="1"/>
    <xf numFmtId="0" fontId="0" fillId="3" borderId="0" xfId="0" applyFill="1"/>
    <xf numFmtId="0" fontId="0" fillId="4" borderId="0" xfId="0" applyFill="1"/>
    <xf numFmtId="0" fontId="2" fillId="0" borderId="1" xfId="1"/>
    <xf numFmtId="0" fontId="2" fillId="0" borderId="0" xfId="1" applyBorder="1"/>
    <xf numFmtId="0" fontId="2" fillId="0" borderId="0" xfId="1" applyFill="1" applyBorder="1"/>
    <xf numFmtId="9" fontId="0" fillId="0" borderId="0" xfId="0" applyNumberFormat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/>
    </xf>
    <xf numFmtId="0" fontId="7" fillId="0" borderId="3" xfId="3"/>
    <xf numFmtId="2" fontId="0" fillId="0" borderId="0" xfId="0" applyNumberFormat="1"/>
    <xf numFmtId="0" fontId="0" fillId="5" borderId="0" xfId="0" applyFill="1"/>
    <xf numFmtId="0" fontId="8" fillId="0" borderId="0" xfId="0" applyFont="1"/>
    <xf numFmtId="0" fontId="9" fillId="0" borderId="0" xfId="0" applyFont="1"/>
    <xf numFmtId="0" fontId="3" fillId="4" borderId="0" xfId="0" applyFont="1" applyFill="1"/>
    <xf numFmtId="0" fontId="3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0" fillId="7" borderId="4" xfId="0" applyFill="1" applyBorder="1"/>
    <xf numFmtId="0" fontId="0" fillId="0" borderId="4" xfId="0" applyBorder="1" applyAlignment="1">
      <alignment horizontal="center"/>
    </xf>
    <xf numFmtId="166" fontId="10" fillId="0" borderId="4" xfId="4" applyNumberFormat="1" applyBorder="1" applyAlignment="1">
      <alignment horizontal="center" vertical="center"/>
    </xf>
    <xf numFmtId="0" fontId="10" fillId="0" borderId="4" xfId="4" applyBorder="1" applyAlignment="1">
      <alignment horizontal="center" vertical="center" wrapText="1"/>
    </xf>
    <xf numFmtId="167" fontId="10" fillId="0" borderId="4" xfId="4" applyNumberFormat="1" applyBorder="1" applyAlignment="1">
      <alignment horizontal="center" vertical="center"/>
    </xf>
    <xf numFmtId="0" fontId="11" fillId="8" borderId="5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0" fillId="0" borderId="4" xfId="4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top"/>
    </xf>
    <xf numFmtId="0" fontId="13" fillId="9" borderId="6" xfId="0" applyFont="1" applyFill="1" applyBorder="1" applyAlignment="1">
      <alignment vertical="top"/>
    </xf>
    <xf numFmtId="0" fontId="1" fillId="0" borderId="4" xfId="5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8" borderId="6" xfId="0" applyFont="1" applyFill="1" applyBorder="1" applyAlignment="1">
      <alignment horizontal="center" vertical="top"/>
    </xf>
  </cellXfs>
  <cellStyles count="6">
    <cellStyle name="Heading 1" xfId="3" builtinId="16"/>
    <cellStyle name="Heading 3" xfId="1" builtinId="18"/>
    <cellStyle name="Hyperlink" xfId="4" builtinId="8"/>
    <cellStyle name="Normal" xfId="0" builtinId="0"/>
    <cellStyle name="Normal 2" xfId="2" xr:uid="{C1984B5A-0E98-421D-9649-8C2FA38520A2}"/>
    <cellStyle name="Normal 40" xfId="5" xr:uid="{7BE8D608-A203-405C-90D4-86F8A4CC7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146538</xdr:colOff>
      <xdr:row>12</xdr:row>
      <xdr:rowOff>158751</xdr:rowOff>
    </xdr:from>
    <xdr:to>
      <xdr:col>25</xdr:col>
      <xdr:colOff>47137</xdr:colOff>
      <xdr:row>57</xdr:row>
      <xdr:rowOff>115278</xdr:rowOff>
    </xdr:to>
    <xdr:pic>
      <xdr:nvPicPr>
        <xdr:cNvPr id="2" name="Picture 1" descr="Picture 1419990601, Picture">
          <a:extLst>
            <a:ext uri="{FF2B5EF4-FFF2-40B4-BE49-F238E27FC236}">
              <a16:creationId xmlns:a16="http://schemas.microsoft.com/office/drawing/2014/main" id="{DD637E14-4862-BB4C-DC49-4B8F5BB8E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2356828"/>
          <a:ext cx="9056077" cy="8223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limate-change.canada.ca/facility-emissions/GHGRP-G10572-2022.html" TargetMode="External"/><Relationship Id="rId3" Type="http://schemas.openxmlformats.org/officeDocument/2006/relationships/hyperlink" Target="https://climate-change.canada.ca/facility-emissions/GHGRP-G10538-2022.html" TargetMode="External"/><Relationship Id="rId7" Type="http://schemas.openxmlformats.org/officeDocument/2006/relationships/hyperlink" Target="https://pollution-waste.canada.ca/national-release-inventory/2023/6171" TargetMode="External"/><Relationship Id="rId2" Type="http://schemas.openxmlformats.org/officeDocument/2006/relationships/hyperlink" Target="https://pollution-waste.canada.ca/national-release-inventory/2023/6370" TargetMode="External"/><Relationship Id="rId1" Type="http://schemas.openxmlformats.org/officeDocument/2006/relationships/hyperlink" Target="https://climate-change.canada.ca/facility-emissions/GHGRP-G10401-2022.html" TargetMode="External"/><Relationship Id="rId6" Type="http://schemas.openxmlformats.org/officeDocument/2006/relationships/hyperlink" Target="https://climate-change.canada.ca/facility-emissions/GHGRP-G10344-2022.html" TargetMode="External"/><Relationship Id="rId11" Type="http://schemas.openxmlformats.org/officeDocument/2006/relationships/hyperlink" Target="https://climate-change.canada.ca/facility-emissions/GHGRP-G10633-2022.html" TargetMode="External"/><Relationship Id="rId5" Type="http://schemas.openxmlformats.org/officeDocument/2006/relationships/hyperlink" Target="https://pollution-waste.canada.ca/national-release-inventory/2023/6173" TargetMode="External"/><Relationship Id="rId10" Type="http://schemas.openxmlformats.org/officeDocument/2006/relationships/hyperlink" Target="https://pollution-waste.canada.ca/national-release-inventory/2023/31585" TargetMode="External"/><Relationship Id="rId4" Type="http://schemas.openxmlformats.org/officeDocument/2006/relationships/hyperlink" Target="https://pollution-waste.canada.ca/national-release-inventory/2023/27915" TargetMode="External"/><Relationship Id="rId9" Type="http://schemas.openxmlformats.org/officeDocument/2006/relationships/hyperlink" Target="https://climate-change.canada.ca/facility-emissions/GHGRP-G10730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2"/>
  <sheetViews>
    <sheetView tabSelected="1" zoomScale="71" zoomScaleNormal="90" workbookViewId="0">
      <selection activeCell="A2" sqref="A2"/>
    </sheetView>
  </sheetViews>
  <sheetFormatPr defaultRowHeight="14.5" x14ac:dyDescent="0.35"/>
  <cols>
    <col min="1" max="1" width="67.453125" customWidth="1"/>
    <col min="2" max="2" width="50.81640625" customWidth="1"/>
    <col min="4" max="4" width="12.81640625" customWidth="1"/>
    <col min="6" max="6" width="28.1796875" customWidth="1"/>
    <col min="7" max="7" width="18.81640625" customWidth="1"/>
  </cols>
  <sheetData>
    <row r="1" spans="1:2" x14ac:dyDescent="0.35">
      <c r="A1" s="1" t="s">
        <v>0</v>
      </c>
      <c r="B1" s="2" t="s">
        <v>176</v>
      </c>
    </row>
    <row r="2" spans="1:2" x14ac:dyDescent="0.35">
      <c r="A2" s="1"/>
      <c r="B2" s="2"/>
    </row>
    <row r="3" spans="1:2" x14ac:dyDescent="0.35">
      <c r="A3" s="1"/>
      <c r="B3" s="2"/>
    </row>
    <row r="4" spans="1:2" x14ac:dyDescent="0.35">
      <c r="A4" s="1"/>
      <c r="B4" s="2"/>
    </row>
    <row r="5" spans="1:2" x14ac:dyDescent="0.35">
      <c r="A5" s="1"/>
      <c r="B5" s="2"/>
    </row>
    <row r="6" spans="1:2" x14ac:dyDescent="0.35">
      <c r="A6" s="1"/>
      <c r="B6" s="2"/>
    </row>
    <row r="7" spans="1:2" x14ac:dyDescent="0.35">
      <c r="A7" s="1"/>
      <c r="B7" s="2"/>
    </row>
    <row r="8" spans="1:2" x14ac:dyDescent="0.35">
      <c r="A8" s="1"/>
      <c r="B8" s="2"/>
    </row>
    <row r="9" spans="1:2" x14ac:dyDescent="0.35">
      <c r="A9" s="1"/>
      <c r="B9" s="2"/>
    </row>
    <row r="10" spans="1:2" x14ac:dyDescent="0.35">
      <c r="A10" s="1"/>
      <c r="B10" s="2"/>
    </row>
    <row r="11" spans="1:2" x14ac:dyDescent="0.35">
      <c r="A11" s="1"/>
      <c r="B11" s="2"/>
    </row>
    <row r="12" spans="1:2" x14ac:dyDescent="0.35">
      <c r="A12" s="1"/>
      <c r="B12" s="2"/>
    </row>
    <row r="13" spans="1:2" x14ac:dyDescent="0.35">
      <c r="A13" s="1"/>
      <c r="B13" s="2"/>
    </row>
    <row r="14" spans="1:2" x14ac:dyDescent="0.35">
      <c r="A14" s="1"/>
      <c r="B14" s="2"/>
    </row>
    <row r="15" spans="1:2" x14ac:dyDescent="0.35">
      <c r="A15" s="1"/>
      <c r="B15" s="2"/>
    </row>
    <row r="16" spans="1:2" x14ac:dyDescent="0.35">
      <c r="A16" s="1"/>
      <c r="B16" s="2"/>
    </row>
    <row r="17" spans="1:9" x14ac:dyDescent="0.35">
      <c r="A17" s="1"/>
      <c r="B17" s="2"/>
    </row>
    <row r="18" spans="1:9" x14ac:dyDescent="0.35">
      <c r="A18" s="1"/>
      <c r="B18" s="2"/>
    </row>
    <row r="19" spans="1:9" x14ac:dyDescent="0.35">
      <c r="A19" s="1"/>
      <c r="B19" s="2"/>
    </row>
    <row r="20" spans="1:9" x14ac:dyDescent="0.35">
      <c r="A20" s="1"/>
      <c r="B20" s="2"/>
    </row>
    <row r="21" spans="1:9" x14ac:dyDescent="0.35">
      <c r="A21" s="1"/>
      <c r="B21" s="2"/>
    </row>
    <row r="22" spans="1:9" x14ac:dyDescent="0.35">
      <c r="A22" s="1"/>
      <c r="B22" s="2"/>
    </row>
    <row r="23" spans="1:9" x14ac:dyDescent="0.35">
      <c r="A23" s="1"/>
      <c r="B23" s="2"/>
    </row>
    <row r="24" spans="1:9" x14ac:dyDescent="0.35">
      <c r="A24" s="1"/>
      <c r="B24" s="2"/>
    </row>
    <row r="26" spans="1:9" x14ac:dyDescent="0.35">
      <c r="A26" s="1" t="s">
        <v>2</v>
      </c>
      <c r="B26" s="2" t="s">
        <v>222</v>
      </c>
      <c r="C26" s="2"/>
      <c r="D26" s="2"/>
      <c r="E26" s="2"/>
      <c r="F26" s="2"/>
      <c r="G26" s="2"/>
      <c r="H26" s="2"/>
      <c r="I26" s="2"/>
    </row>
    <row r="27" spans="1:9" x14ac:dyDescent="0.35">
      <c r="A27" s="3" t="s">
        <v>3</v>
      </c>
      <c r="B27" t="s">
        <v>31</v>
      </c>
    </row>
    <row r="28" spans="1:9" x14ac:dyDescent="0.35">
      <c r="A28" s="4" t="s">
        <v>4</v>
      </c>
      <c r="B28" s="5" t="s">
        <v>5</v>
      </c>
      <c r="C28" s="5"/>
      <c r="D28" s="5"/>
      <c r="E28" s="5"/>
      <c r="F28" s="5"/>
      <c r="G28" s="5"/>
      <c r="H28" s="5"/>
      <c r="I28" s="5"/>
    </row>
    <row r="29" spans="1:9" x14ac:dyDescent="0.35">
      <c r="A29" s="4" t="s">
        <v>6</v>
      </c>
      <c r="B29" s="6">
        <v>1</v>
      </c>
      <c r="C29" s="5"/>
      <c r="D29" s="5"/>
      <c r="E29" s="5"/>
      <c r="F29" s="5"/>
      <c r="G29" s="5"/>
      <c r="H29" s="5"/>
      <c r="I29" s="5"/>
    </row>
    <row r="30" spans="1:9" x14ac:dyDescent="0.35">
      <c r="A30" s="4" t="s">
        <v>7</v>
      </c>
      <c r="B30" s="7" t="s">
        <v>8</v>
      </c>
      <c r="C30" s="5"/>
      <c r="D30" s="5"/>
      <c r="E30" s="5"/>
      <c r="F30" s="5"/>
      <c r="G30" s="5"/>
      <c r="H30" s="5"/>
      <c r="I30" s="5"/>
    </row>
    <row r="32" spans="1:9" x14ac:dyDescent="0.35">
      <c r="A32" s="3" t="s">
        <v>9</v>
      </c>
    </row>
    <row r="33" spans="1:10" x14ac:dyDescent="0.35">
      <c r="A33" s="3" t="s">
        <v>10</v>
      </c>
      <c r="B33" s="3" t="s">
        <v>11</v>
      </c>
      <c r="C33" s="3" t="s">
        <v>7</v>
      </c>
      <c r="D33" s="8" t="s">
        <v>12</v>
      </c>
      <c r="E33" s="3" t="s">
        <v>4</v>
      </c>
      <c r="F33" s="3" t="s">
        <v>13</v>
      </c>
      <c r="G33" s="3" t="s">
        <v>14</v>
      </c>
      <c r="H33" s="3" t="s">
        <v>15</v>
      </c>
      <c r="I33" t="s">
        <v>3</v>
      </c>
    </row>
    <row r="34" spans="1:10" x14ac:dyDescent="0.35">
      <c r="A34" t="s">
        <v>222</v>
      </c>
      <c r="B34" t="s">
        <v>16</v>
      </c>
      <c r="C34" t="s">
        <v>8</v>
      </c>
      <c r="D34" s="9">
        <v>1</v>
      </c>
      <c r="E34" t="str">
        <f>B28</f>
        <v>CA-QC</v>
      </c>
      <c r="F34" t="str">
        <f>$B$1</f>
        <v>OWM Facilities</v>
      </c>
      <c r="G34" t="s">
        <v>17</v>
      </c>
      <c r="H34" s="3"/>
      <c r="I34" t="s">
        <v>33</v>
      </c>
    </row>
    <row r="35" spans="1:10" x14ac:dyDescent="0.35">
      <c r="A35" s="9" t="s">
        <v>34</v>
      </c>
      <c r="B35" t="s">
        <v>35</v>
      </c>
      <c r="C35" t="s">
        <v>36</v>
      </c>
      <c r="D35" s="10">
        <f>0.033*1000</f>
        <v>33</v>
      </c>
      <c r="E35" t="str">
        <f>B28</f>
        <v>CA-QC</v>
      </c>
      <c r="F35" s="20" t="s">
        <v>174</v>
      </c>
      <c r="G35" t="s">
        <v>19</v>
      </c>
      <c r="I35" t="s">
        <v>37</v>
      </c>
    </row>
    <row r="36" spans="1:10" x14ac:dyDescent="0.35">
      <c r="A36" t="s">
        <v>38</v>
      </c>
      <c r="B36" t="s">
        <v>39</v>
      </c>
      <c r="C36" t="s">
        <v>40</v>
      </c>
      <c r="D36" s="10">
        <f>0.000253016462365506*1000</f>
        <v>0.25301646236550601</v>
      </c>
      <c r="E36" t="s">
        <v>41</v>
      </c>
      <c r="F36" s="20" t="s">
        <v>174</v>
      </c>
      <c r="G36" t="s">
        <v>19</v>
      </c>
      <c r="I36" t="s">
        <v>37</v>
      </c>
    </row>
    <row r="37" spans="1:10" x14ac:dyDescent="0.35">
      <c r="A37" t="s">
        <v>45</v>
      </c>
      <c r="B37" t="s">
        <v>46</v>
      </c>
      <c r="C37" t="s">
        <v>44</v>
      </c>
      <c r="D37" s="10">
        <f>Transportation!B14</f>
        <v>0</v>
      </c>
      <c r="E37" t="s">
        <v>47</v>
      </c>
      <c r="F37" s="20" t="s">
        <v>174</v>
      </c>
      <c r="G37" t="s">
        <v>19</v>
      </c>
      <c r="I37" t="s">
        <v>37</v>
      </c>
      <c r="J37" t="s">
        <v>172</v>
      </c>
    </row>
    <row r="38" spans="1:10" x14ac:dyDescent="0.35">
      <c r="A38" t="s">
        <v>52</v>
      </c>
      <c r="B38" t="s">
        <v>53</v>
      </c>
      <c r="C38" t="s">
        <v>54</v>
      </c>
      <c r="D38" s="10">
        <f>0.0000185*1000</f>
        <v>1.8499999999999999E-2</v>
      </c>
      <c r="E38" t="s">
        <v>5</v>
      </c>
      <c r="F38" s="20" t="s">
        <v>174</v>
      </c>
      <c r="G38" t="s">
        <v>19</v>
      </c>
      <c r="I38" t="s">
        <v>33</v>
      </c>
    </row>
    <row r="39" spans="1:10" x14ac:dyDescent="0.35">
      <c r="A39" t="s">
        <v>177</v>
      </c>
      <c r="B39" t="s">
        <v>56</v>
      </c>
      <c r="C39" t="s">
        <v>57</v>
      </c>
      <c r="D39">
        <v>-0.22500000000000001</v>
      </c>
      <c r="E39" t="s">
        <v>5</v>
      </c>
      <c r="F39" s="20" t="s">
        <v>174</v>
      </c>
      <c r="G39" t="s">
        <v>19</v>
      </c>
      <c r="I39" t="s">
        <v>33</v>
      </c>
    </row>
    <row r="40" spans="1:10" x14ac:dyDescent="0.35">
      <c r="A40" t="s">
        <v>59</v>
      </c>
      <c r="C40" t="s">
        <v>57</v>
      </c>
      <c r="D40" s="10">
        <f>0.000125*1000</f>
        <v>0.125</v>
      </c>
      <c r="F40" s="20" t="s">
        <v>175</v>
      </c>
      <c r="G40" t="s">
        <v>60</v>
      </c>
      <c r="H40" t="s">
        <v>61</v>
      </c>
      <c r="I40" t="s">
        <v>62</v>
      </c>
    </row>
    <row r="41" spans="1:10" x14ac:dyDescent="0.35">
      <c r="A41" t="s">
        <v>63</v>
      </c>
      <c r="C41" t="s">
        <v>54</v>
      </c>
      <c r="D41" s="11">
        <f>0.0000376*1000</f>
        <v>3.7600000000000001E-2</v>
      </c>
      <c r="F41" s="20" t="s">
        <v>175</v>
      </c>
      <c r="G41" t="s">
        <v>60</v>
      </c>
      <c r="H41" t="s">
        <v>61</v>
      </c>
      <c r="I41" t="s">
        <v>33</v>
      </c>
    </row>
    <row r="42" spans="1:10" x14ac:dyDescent="0.35">
      <c r="A42" t="s">
        <v>64</v>
      </c>
      <c r="C42" t="s">
        <v>54</v>
      </c>
      <c r="D42" s="10">
        <f>0.0936*1000</f>
        <v>93.600000000000009</v>
      </c>
      <c r="F42" s="20" t="s">
        <v>175</v>
      </c>
      <c r="G42" t="s">
        <v>60</v>
      </c>
      <c r="H42" t="s">
        <v>61</v>
      </c>
      <c r="I42" t="s">
        <v>33</v>
      </c>
    </row>
    <row r="43" spans="1:10" x14ac:dyDescent="0.35">
      <c r="A43" t="s">
        <v>65</v>
      </c>
      <c r="C43" t="s">
        <v>54</v>
      </c>
      <c r="D43" s="25">
        <f>0.000091*1000</f>
        <v>9.0999999999999998E-2</v>
      </c>
      <c r="F43" s="20" t="s">
        <v>175</v>
      </c>
      <c r="G43" t="s">
        <v>60</v>
      </c>
      <c r="H43" t="s">
        <v>61</v>
      </c>
      <c r="I43" t="s">
        <v>33</v>
      </c>
    </row>
    <row r="44" spans="1:10" x14ac:dyDescent="0.35">
      <c r="A44" t="s">
        <v>66</v>
      </c>
      <c r="C44" t="s">
        <v>54</v>
      </c>
      <c r="D44" s="10">
        <f>0.000526*1000</f>
        <v>0.52600000000000002</v>
      </c>
      <c r="F44" s="20" t="s">
        <v>175</v>
      </c>
      <c r="G44" t="s">
        <v>60</v>
      </c>
      <c r="H44" t="s">
        <v>61</v>
      </c>
      <c r="I44" t="s">
        <v>33</v>
      </c>
    </row>
    <row r="45" spans="1:10" x14ac:dyDescent="0.35">
      <c r="A45" t="s">
        <v>67</v>
      </c>
      <c r="C45" t="s">
        <v>54</v>
      </c>
      <c r="D45" s="10">
        <f>0.00264*1000</f>
        <v>2.64</v>
      </c>
      <c r="F45" s="20" t="s">
        <v>175</v>
      </c>
      <c r="G45" t="s">
        <v>60</v>
      </c>
      <c r="H45" t="s">
        <v>61</v>
      </c>
      <c r="I45" t="s">
        <v>33</v>
      </c>
    </row>
    <row r="46" spans="1:10" x14ac:dyDescent="0.35">
      <c r="A46" t="s">
        <v>179</v>
      </c>
      <c r="C46" t="s">
        <v>54</v>
      </c>
      <c r="D46" s="11">
        <f>0.000476*1000</f>
        <v>0.47600000000000003</v>
      </c>
      <c r="F46" s="20" t="s">
        <v>175</v>
      </c>
      <c r="G46" t="s">
        <v>60</v>
      </c>
      <c r="H46" t="s">
        <v>61</v>
      </c>
      <c r="I46" t="s">
        <v>33</v>
      </c>
    </row>
    <row r="47" spans="1:10" x14ac:dyDescent="0.35">
      <c r="A47" t="s">
        <v>166</v>
      </c>
      <c r="B47" t="s">
        <v>132</v>
      </c>
      <c r="C47" t="s">
        <v>54</v>
      </c>
      <c r="D47">
        <v>0.29528799999999999</v>
      </c>
      <c r="E47" t="s">
        <v>135</v>
      </c>
      <c r="F47" s="20" t="s">
        <v>174</v>
      </c>
      <c r="G47" t="s">
        <v>68</v>
      </c>
    </row>
    <row r="48" spans="1:10" x14ac:dyDescent="0.35">
      <c r="A48" t="s">
        <v>167</v>
      </c>
      <c r="B48" t="s">
        <v>133</v>
      </c>
      <c r="C48" t="s">
        <v>54</v>
      </c>
      <c r="D48">
        <v>0.168736</v>
      </c>
      <c r="E48" t="s">
        <v>135</v>
      </c>
      <c r="F48" s="20" t="s">
        <v>174</v>
      </c>
      <c r="G48" t="s">
        <v>68</v>
      </c>
    </row>
    <row r="49" spans="1:9" x14ac:dyDescent="0.35">
      <c r="A49" t="s">
        <v>180</v>
      </c>
      <c r="B49" t="s">
        <v>134</v>
      </c>
      <c r="C49" t="s">
        <v>54</v>
      </c>
      <c r="D49">
        <v>0.253104</v>
      </c>
      <c r="E49" t="s">
        <v>135</v>
      </c>
      <c r="F49" s="20" t="s">
        <v>174</v>
      </c>
      <c r="G49" t="s">
        <v>68</v>
      </c>
    </row>
    <row r="50" spans="1:9" x14ac:dyDescent="0.35">
      <c r="B50" s="11"/>
    </row>
    <row r="51" spans="1:9" x14ac:dyDescent="0.35">
      <c r="B51" s="11"/>
    </row>
    <row r="52" spans="1:9" x14ac:dyDescent="0.35">
      <c r="B52" s="11"/>
    </row>
    <row r="53" spans="1:9" x14ac:dyDescent="0.35">
      <c r="D53" s="12"/>
    </row>
    <row r="54" spans="1:9" x14ac:dyDescent="0.35">
      <c r="D54" s="12"/>
    </row>
    <row r="55" spans="1:9" x14ac:dyDescent="0.35">
      <c r="D55" s="12"/>
    </row>
    <row r="56" spans="1:9" x14ac:dyDescent="0.35">
      <c r="D56" s="12"/>
    </row>
    <row r="57" spans="1:9" x14ac:dyDescent="0.35">
      <c r="D57" s="12"/>
    </row>
    <row r="58" spans="1:9" x14ac:dyDescent="0.35">
      <c r="D58" s="12"/>
    </row>
    <row r="59" spans="1:9" x14ac:dyDescent="0.35">
      <c r="A59" s="1" t="s">
        <v>2</v>
      </c>
      <c r="B59" s="2" t="s">
        <v>221</v>
      </c>
      <c r="C59" s="2"/>
      <c r="D59" s="2"/>
      <c r="E59" s="2"/>
      <c r="F59" s="2"/>
      <c r="G59" s="2"/>
      <c r="H59" s="2"/>
      <c r="I59" s="2"/>
    </row>
    <row r="60" spans="1:9" x14ac:dyDescent="0.35">
      <c r="A60" s="3" t="s">
        <v>3</v>
      </c>
      <c r="B60" t="s">
        <v>69</v>
      </c>
    </row>
    <row r="61" spans="1:9" x14ac:dyDescent="0.35">
      <c r="A61" s="4" t="s">
        <v>4</v>
      </c>
      <c r="B61" s="5" t="s">
        <v>5</v>
      </c>
      <c r="C61" s="5"/>
      <c r="D61" s="5"/>
      <c r="E61" s="5"/>
      <c r="F61" s="5"/>
      <c r="G61" s="5"/>
      <c r="H61" s="5"/>
      <c r="I61" s="5"/>
    </row>
    <row r="62" spans="1:9" x14ac:dyDescent="0.35">
      <c r="A62" s="4" t="s">
        <v>6</v>
      </c>
      <c r="B62" s="6">
        <v>1</v>
      </c>
      <c r="C62" s="5"/>
      <c r="D62" s="5"/>
      <c r="E62" s="5"/>
      <c r="F62" s="5"/>
      <c r="G62" s="5"/>
      <c r="H62" s="5"/>
      <c r="I62" s="5"/>
    </row>
    <row r="63" spans="1:9" x14ac:dyDescent="0.35">
      <c r="A63" s="4" t="s">
        <v>7</v>
      </c>
      <c r="B63" s="5" t="s">
        <v>8</v>
      </c>
      <c r="C63" s="5"/>
      <c r="D63" s="5"/>
      <c r="E63" s="5"/>
      <c r="F63" s="5"/>
      <c r="G63" s="5"/>
      <c r="H63" s="5"/>
      <c r="I63" s="5"/>
    </row>
    <row r="65" spans="1:9" x14ac:dyDescent="0.35">
      <c r="A65" s="3" t="s">
        <v>9</v>
      </c>
    </row>
    <row r="66" spans="1:9" x14ac:dyDescent="0.35">
      <c r="A66" s="3" t="s">
        <v>10</v>
      </c>
      <c r="B66" s="3" t="s">
        <v>11</v>
      </c>
      <c r="C66" s="3" t="s">
        <v>7</v>
      </c>
      <c r="D66" s="8" t="s">
        <v>12</v>
      </c>
      <c r="E66" s="3" t="s">
        <v>4</v>
      </c>
      <c r="F66" s="3" t="s">
        <v>13</v>
      </c>
      <c r="G66" s="3" t="s">
        <v>14</v>
      </c>
      <c r="H66" s="3" t="s">
        <v>15</v>
      </c>
      <c r="I66" t="s">
        <v>3</v>
      </c>
    </row>
    <row r="67" spans="1:9" x14ac:dyDescent="0.35">
      <c r="A67" t="str">
        <f>B59</f>
        <v xml:space="preserve">AD_literature </v>
      </c>
      <c r="B67" t="s">
        <v>16</v>
      </c>
      <c r="C67" t="s">
        <v>8</v>
      </c>
      <c r="D67" s="12">
        <v>1</v>
      </c>
      <c r="E67" t="str">
        <f>B61</f>
        <v>CA-QC</v>
      </c>
      <c r="F67" t="str">
        <f>$B$1</f>
        <v>OWM Facilities</v>
      </c>
      <c r="G67" t="s">
        <v>17</v>
      </c>
    </row>
    <row r="68" spans="1:9" x14ac:dyDescent="0.35">
      <c r="A68" t="s">
        <v>34</v>
      </c>
      <c r="B68" t="s">
        <v>35</v>
      </c>
      <c r="C68" t="s">
        <v>36</v>
      </c>
      <c r="D68" s="10">
        <f>1000*0.002135</f>
        <v>2.1350000000000002</v>
      </c>
      <c r="E68" t="str">
        <f>E67</f>
        <v>CA-QC</v>
      </c>
      <c r="F68" s="20" t="s">
        <v>174</v>
      </c>
      <c r="G68" t="s">
        <v>19</v>
      </c>
    </row>
    <row r="69" spans="1:9" x14ac:dyDescent="0.35">
      <c r="A69" t="s">
        <v>71</v>
      </c>
      <c r="B69" t="s">
        <v>72</v>
      </c>
      <c r="C69" t="s">
        <v>73</v>
      </c>
      <c r="D69" s="10">
        <f>1000*0.2416</f>
        <v>241.60000000000002</v>
      </c>
      <c r="E69" t="s">
        <v>50</v>
      </c>
      <c r="F69" s="20" t="s">
        <v>174</v>
      </c>
      <c r="G69" t="s">
        <v>19</v>
      </c>
    </row>
    <row r="70" spans="1:9" x14ac:dyDescent="0.35">
      <c r="A70" t="s">
        <v>38</v>
      </c>
      <c r="B70" t="s">
        <v>39</v>
      </c>
      <c r="C70" t="s">
        <v>40</v>
      </c>
      <c r="D70" s="10">
        <f>1000*0.000352112676056338</f>
        <v>0.352112676056338</v>
      </c>
      <c r="E70" t="s">
        <v>41</v>
      </c>
      <c r="F70" s="20" t="s">
        <v>174</v>
      </c>
      <c r="G70" t="s">
        <v>19</v>
      </c>
    </row>
    <row r="71" spans="1:9" x14ac:dyDescent="0.35">
      <c r="A71" t="s">
        <v>74</v>
      </c>
      <c r="B71" t="s">
        <v>75</v>
      </c>
      <c r="C71" t="s">
        <v>54</v>
      </c>
      <c r="D71" s="10">
        <f>1000*0.225</f>
        <v>225</v>
      </c>
      <c r="E71" t="s">
        <v>70</v>
      </c>
      <c r="F71" s="20" t="s">
        <v>174</v>
      </c>
      <c r="G71" t="s">
        <v>19</v>
      </c>
    </row>
    <row r="72" spans="1:9" x14ac:dyDescent="0.35">
      <c r="A72" t="s">
        <v>45</v>
      </c>
      <c r="B72" t="s">
        <v>46</v>
      </c>
      <c r="C72" t="s">
        <v>44</v>
      </c>
      <c r="D72" s="10">
        <f>Transportation!B15</f>
        <v>0</v>
      </c>
      <c r="E72" t="s">
        <v>47</v>
      </c>
      <c r="F72" s="20" t="s">
        <v>174</v>
      </c>
      <c r="G72" t="s">
        <v>19</v>
      </c>
    </row>
    <row r="73" spans="1:9" x14ac:dyDescent="0.35">
      <c r="A73" t="s">
        <v>63</v>
      </c>
      <c r="C73" t="s">
        <v>54</v>
      </c>
      <c r="D73" s="11">
        <f>1000*0.0001456</f>
        <v>0.14559999999999998</v>
      </c>
      <c r="F73" s="20" t="s">
        <v>175</v>
      </c>
      <c r="G73" t="s">
        <v>60</v>
      </c>
      <c r="H73" t="s">
        <v>61</v>
      </c>
    </row>
    <row r="74" spans="1:9" x14ac:dyDescent="0.35">
      <c r="A74" t="s">
        <v>64</v>
      </c>
      <c r="C74" t="s">
        <v>54</v>
      </c>
      <c r="D74" s="11">
        <f>1000*0.0916</f>
        <v>91.6</v>
      </c>
      <c r="F74" s="20" t="s">
        <v>175</v>
      </c>
      <c r="G74" t="s">
        <v>60</v>
      </c>
      <c r="H74" t="s">
        <v>61</v>
      </c>
    </row>
    <row r="75" spans="1:9" x14ac:dyDescent="0.35">
      <c r="A75" t="s">
        <v>65</v>
      </c>
      <c r="C75" t="s">
        <v>54</v>
      </c>
      <c r="D75" s="11">
        <f>1000*0.00008</f>
        <v>0.08</v>
      </c>
      <c r="F75" s="20" t="s">
        <v>175</v>
      </c>
      <c r="G75" t="s">
        <v>60</v>
      </c>
      <c r="H75" t="s">
        <v>61</v>
      </c>
    </row>
    <row r="76" spans="1:9" x14ac:dyDescent="0.35">
      <c r="A76" t="s">
        <v>66</v>
      </c>
      <c r="C76" t="s">
        <v>54</v>
      </c>
      <c r="D76" s="11">
        <f>1000*0.0000896</f>
        <v>8.9599999999999999E-2</v>
      </c>
      <c r="F76" s="20" t="s">
        <v>175</v>
      </c>
      <c r="G76" t="s">
        <v>60</v>
      </c>
      <c r="H76" t="s">
        <v>61</v>
      </c>
    </row>
    <row r="77" spans="1:9" x14ac:dyDescent="0.35">
      <c r="A77" t="s">
        <v>67</v>
      </c>
      <c r="C77" t="s">
        <v>54</v>
      </c>
      <c r="D77" s="11">
        <f>1000*0.00274</f>
        <v>2.7399999999999998</v>
      </c>
      <c r="F77" s="20" t="s">
        <v>175</v>
      </c>
      <c r="G77" t="s">
        <v>60</v>
      </c>
      <c r="H77" t="s">
        <v>61</v>
      </c>
    </row>
    <row r="78" spans="1:9" x14ac:dyDescent="0.35">
      <c r="A78" t="s">
        <v>179</v>
      </c>
      <c r="C78" t="s">
        <v>54</v>
      </c>
      <c r="D78" s="10">
        <f>1000*0.000426</f>
        <v>0.42599999999999999</v>
      </c>
      <c r="F78" s="20" t="s">
        <v>175</v>
      </c>
      <c r="G78" t="s">
        <v>60</v>
      </c>
      <c r="H78" t="s">
        <v>61</v>
      </c>
    </row>
    <row r="79" spans="1:9" x14ac:dyDescent="0.35">
      <c r="A79" t="s">
        <v>76</v>
      </c>
      <c r="C79" t="s">
        <v>54</v>
      </c>
      <c r="D79" s="10">
        <f>1000*0.00000297</f>
        <v>2.97E-3</v>
      </c>
      <c r="F79" s="20" t="s">
        <v>175</v>
      </c>
      <c r="G79" t="s">
        <v>60</v>
      </c>
      <c r="H79" t="s">
        <v>61</v>
      </c>
    </row>
    <row r="80" spans="1:9" x14ac:dyDescent="0.35">
      <c r="A80" t="s">
        <v>77</v>
      </c>
      <c r="C80" t="s">
        <v>54</v>
      </c>
      <c r="D80" s="10">
        <f>1000*0.0000000928</f>
        <v>9.2799999999999992E-5</v>
      </c>
      <c r="F80" s="20" t="s">
        <v>175</v>
      </c>
      <c r="G80" t="s">
        <v>60</v>
      </c>
      <c r="H80" t="s">
        <v>59</v>
      </c>
    </row>
    <row r="81" spans="1:9" x14ac:dyDescent="0.35">
      <c r="A81" t="s">
        <v>78</v>
      </c>
      <c r="C81" t="s">
        <v>54</v>
      </c>
      <c r="D81" s="10">
        <f>1000*0.000000109</f>
        <v>1.0899999999999999E-4</v>
      </c>
      <c r="F81" s="20" t="s">
        <v>175</v>
      </c>
      <c r="G81" t="s">
        <v>60</v>
      </c>
      <c r="H81" t="s">
        <v>59</v>
      </c>
    </row>
    <row r="82" spans="1:9" x14ac:dyDescent="0.35">
      <c r="A82" t="s">
        <v>79</v>
      </c>
      <c r="C82" t="s">
        <v>54</v>
      </c>
      <c r="D82" s="10">
        <f>1000*0.0000000704</f>
        <v>7.039999999999999E-5</v>
      </c>
      <c r="F82" s="20" t="s">
        <v>175</v>
      </c>
      <c r="G82" t="s">
        <v>60</v>
      </c>
      <c r="H82" t="s">
        <v>61</v>
      </c>
    </row>
    <row r="83" spans="1:9" x14ac:dyDescent="0.35">
      <c r="A83" t="s">
        <v>177</v>
      </c>
      <c r="B83" t="s">
        <v>56</v>
      </c>
      <c r="C83" t="s">
        <v>57</v>
      </c>
      <c r="D83">
        <v>-0.22500000000000001</v>
      </c>
      <c r="E83" t="s">
        <v>5</v>
      </c>
      <c r="F83" s="20" t="s">
        <v>174</v>
      </c>
      <c r="G83" t="s">
        <v>19</v>
      </c>
      <c r="I83" t="s">
        <v>33</v>
      </c>
    </row>
    <row r="84" spans="1:9" x14ac:dyDescent="0.35">
      <c r="A84" t="s">
        <v>171</v>
      </c>
      <c r="B84" t="s">
        <v>170</v>
      </c>
      <c r="C84" t="s">
        <v>57</v>
      </c>
      <c r="D84">
        <f>'Natural gas credit'!B12</f>
        <v>20.905141753653442</v>
      </c>
      <c r="E84" t="s">
        <v>178</v>
      </c>
      <c r="F84" s="20" t="s">
        <v>174</v>
      </c>
      <c r="G84" t="s">
        <v>68</v>
      </c>
    </row>
    <row r="85" spans="1:9" x14ac:dyDescent="0.35">
      <c r="A85" t="s">
        <v>166</v>
      </c>
      <c r="B85" t="s">
        <v>132</v>
      </c>
      <c r="C85" t="s">
        <v>54</v>
      </c>
      <c r="D85">
        <f>620*0.4</f>
        <v>248</v>
      </c>
      <c r="E85" t="s">
        <v>135</v>
      </c>
      <c r="F85" s="20" t="s">
        <v>174</v>
      </c>
      <c r="G85" t="s">
        <v>68</v>
      </c>
      <c r="I85" t="s">
        <v>202</v>
      </c>
    </row>
    <row r="87" spans="1:9" x14ac:dyDescent="0.35">
      <c r="A87" s="1" t="s">
        <v>2</v>
      </c>
      <c r="B87" t="s">
        <v>18</v>
      </c>
      <c r="C87" s="2"/>
      <c r="D87" s="2"/>
      <c r="E87" s="2"/>
      <c r="F87" s="2"/>
      <c r="G87" s="2"/>
      <c r="H87" s="2"/>
      <c r="I87" s="2"/>
    </row>
    <row r="88" spans="1:9" x14ac:dyDescent="0.35">
      <c r="A88" s="3" t="s">
        <v>3</v>
      </c>
      <c r="B88" t="s">
        <v>240</v>
      </c>
    </row>
    <row r="89" spans="1:9" x14ac:dyDescent="0.35">
      <c r="A89" s="4" t="s">
        <v>4</v>
      </c>
      <c r="B89" s="5" t="s">
        <v>5</v>
      </c>
      <c r="C89" s="5"/>
      <c r="D89" s="5"/>
      <c r="E89" s="5"/>
      <c r="F89" s="5"/>
      <c r="G89" s="5"/>
      <c r="H89" s="5"/>
      <c r="I89" s="5"/>
    </row>
    <row r="90" spans="1:9" x14ac:dyDescent="0.35">
      <c r="A90" s="4" t="s">
        <v>6</v>
      </c>
      <c r="B90" s="6">
        <v>1</v>
      </c>
      <c r="C90" s="5"/>
      <c r="D90" s="5"/>
      <c r="E90" s="5"/>
      <c r="F90" s="5"/>
      <c r="G90" s="5"/>
      <c r="H90" s="5"/>
      <c r="I90" s="5"/>
    </row>
    <row r="91" spans="1:9" x14ac:dyDescent="0.35">
      <c r="A91" s="4" t="s">
        <v>7</v>
      </c>
      <c r="B91" s="5" t="s">
        <v>8</v>
      </c>
      <c r="C91" s="5"/>
      <c r="D91" s="5"/>
      <c r="E91" s="5"/>
      <c r="F91" s="5"/>
      <c r="G91" s="5"/>
      <c r="H91" s="5"/>
      <c r="I91" s="5"/>
    </row>
    <row r="93" spans="1:9" x14ac:dyDescent="0.35">
      <c r="A93" s="3" t="s">
        <v>9</v>
      </c>
    </row>
    <row r="94" spans="1:9" x14ac:dyDescent="0.35">
      <c r="A94" s="3" t="s">
        <v>10</v>
      </c>
      <c r="B94" s="3" t="s">
        <v>11</v>
      </c>
      <c r="C94" s="3" t="s">
        <v>7</v>
      </c>
      <c r="D94" s="8" t="s">
        <v>12</v>
      </c>
      <c r="E94" s="3" t="s">
        <v>4</v>
      </c>
      <c r="F94" s="3" t="s">
        <v>13</v>
      </c>
      <c r="G94" s="3" t="s">
        <v>14</v>
      </c>
      <c r="H94" s="3" t="s">
        <v>15</v>
      </c>
      <c r="I94" t="s">
        <v>3</v>
      </c>
    </row>
    <row r="95" spans="1:9" x14ac:dyDescent="0.35">
      <c r="A95" t="s">
        <v>18</v>
      </c>
      <c r="B95" t="s">
        <v>16</v>
      </c>
      <c r="C95" t="s">
        <v>8</v>
      </c>
      <c r="D95" s="12">
        <v>1</v>
      </c>
      <c r="E95" t="s">
        <v>5</v>
      </c>
      <c r="F95" t="str">
        <f>$B$1</f>
        <v>OWM Facilities</v>
      </c>
      <c r="G95" t="s">
        <v>17</v>
      </c>
    </row>
    <row r="96" spans="1:9" x14ac:dyDescent="0.35">
      <c r="A96" t="s">
        <v>45</v>
      </c>
      <c r="B96" t="s">
        <v>46</v>
      </c>
      <c r="C96" t="s">
        <v>44</v>
      </c>
      <c r="D96" s="13">
        <f>Transportation!B4</f>
        <v>45</v>
      </c>
      <c r="E96" t="s">
        <v>47</v>
      </c>
      <c r="F96" s="20" t="s">
        <v>174</v>
      </c>
      <c r="G96" t="s">
        <v>19</v>
      </c>
    </row>
    <row r="97" spans="1:9" x14ac:dyDescent="0.35">
      <c r="A97" t="s">
        <v>182</v>
      </c>
      <c r="B97" t="s">
        <v>183</v>
      </c>
      <c r="C97" t="s">
        <v>54</v>
      </c>
      <c r="D97" s="13">
        <f>'Comparing models'!D21</f>
        <v>0.68883085661884558</v>
      </c>
      <c r="E97" t="s">
        <v>50</v>
      </c>
      <c r="F97" s="20" t="s">
        <v>174</v>
      </c>
      <c r="G97" t="s">
        <v>19</v>
      </c>
      <c r="I97" t="s">
        <v>37</v>
      </c>
    </row>
    <row r="98" spans="1:9" x14ac:dyDescent="0.35">
      <c r="A98" t="s">
        <v>122</v>
      </c>
      <c r="C98" t="s">
        <v>54</v>
      </c>
      <c r="D98" s="13">
        <v>73.250026790475331</v>
      </c>
      <c r="F98" s="20" t="s">
        <v>175</v>
      </c>
      <c r="G98" t="s">
        <v>60</v>
      </c>
      <c r="H98" t="s">
        <v>169</v>
      </c>
    </row>
    <row r="99" spans="1:9" x14ac:dyDescent="0.35">
      <c r="A99" t="s">
        <v>67</v>
      </c>
      <c r="C99" t="s">
        <v>54</v>
      </c>
      <c r="D99" s="13">
        <v>44.250229990800371</v>
      </c>
      <c r="F99" s="20" t="s">
        <v>175</v>
      </c>
      <c r="G99" t="s">
        <v>60</v>
      </c>
      <c r="H99" t="s">
        <v>61</v>
      </c>
    </row>
    <row r="100" spans="1:9" x14ac:dyDescent="0.35">
      <c r="A100" t="s">
        <v>171</v>
      </c>
      <c r="B100" t="s">
        <v>170</v>
      </c>
      <c r="C100" t="s">
        <v>57</v>
      </c>
      <c r="D100">
        <f>'Natural gas credit'!B13</f>
        <v>194.60358638579837</v>
      </c>
      <c r="E100" t="s">
        <v>178</v>
      </c>
      <c r="F100" s="20" t="s">
        <v>174</v>
      </c>
      <c r="G100" t="s">
        <v>68</v>
      </c>
    </row>
    <row r="101" spans="1:9" x14ac:dyDescent="0.35">
      <c r="A101" t="s">
        <v>65</v>
      </c>
      <c r="C101" t="s">
        <v>54</v>
      </c>
      <c r="D101">
        <v>9.8470135268663328E-2</v>
      </c>
      <c r="F101" s="20" t="s">
        <v>175</v>
      </c>
      <c r="G101" t="s">
        <v>60</v>
      </c>
      <c r="H101" t="s">
        <v>61</v>
      </c>
      <c r="I101" t="s">
        <v>33</v>
      </c>
    </row>
    <row r="102" spans="1:9" x14ac:dyDescent="0.35">
      <c r="A102" t="s">
        <v>34</v>
      </c>
      <c r="B102" t="s">
        <v>35</v>
      </c>
      <c r="C102" t="s">
        <v>36</v>
      </c>
      <c r="D102">
        <v>36.273732772249062</v>
      </c>
      <c r="E102" t="s">
        <v>5</v>
      </c>
      <c r="F102" t="s">
        <v>174</v>
      </c>
      <c r="G102" t="s">
        <v>19</v>
      </c>
    </row>
    <row r="103" spans="1:9" x14ac:dyDescent="0.35">
      <c r="A103" t="s">
        <v>64</v>
      </c>
      <c r="C103" t="s">
        <v>54</v>
      </c>
      <c r="D103">
        <v>410.59899826229173</v>
      </c>
      <c r="F103" s="20" t="s">
        <v>175</v>
      </c>
      <c r="G103" t="s">
        <v>60</v>
      </c>
      <c r="H103" t="s">
        <v>61</v>
      </c>
      <c r="I103" t="s">
        <v>33</v>
      </c>
    </row>
    <row r="104" spans="1:9" x14ac:dyDescent="0.35">
      <c r="A104" s="1" t="s">
        <v>2</v>
      </c>
      <c r="B104" t="s">
        <v>20</v>
      </c>
      <c r="C104" s="2"/>
      <c r="D104" s="2"/>
      <c r="E104" s="2"/>
      <c r="F104" s="2"/>
      <c r="G104" s="2"/>
      <c r="H104" s="2"/>
      <c r="I104" s="2"/>
    </row>
    <row r="105" spans="1:9" x14ac:dyDescent="0.35">
      <c r="A105" s="3" t="s">
        <v>3</v>
      </c>
      <c r="B105" t="s">
        <v>240</v>
      </c>
    </row>
    <row r="106" spans="1:9" x14ac:dyDescent="0.35">
      <c r="A106" s="4" t="s">
        <v>4</v>
      </c>
      <c r="B106" s="5" t="s">
        <v>5</v>
      </c>
      <c r="C106" s="5"/>
      <c r="D106" s="5"/>
      <c r="E106" s="5"/>
      <c r="F106" s="5"/>
      <c r="G106" s="5"/>
      <c r="H106" s="5"/>
      <c r="I106" s="5"/>
    </row>
    <row r="107" spans="1:9" x14ac:dyDescent="0.35">
      <c r="A107" s="4" t="s">
        <v>6</v>
      </c>
      <c r="B107" s="6">
        <v>1</v>
      </c>
      <c r="C107" s="5"/>
      <c r="D107" s="5"/>
      <c r="E107" s="5"/>
      <c r="F107" s="5"/>
      <c r="G107" s="5"/>
      <c r="H107" s="5"/>
      <c r="I107" s="5"/>
    </row>
    <row r="108" spans="1:9" x14ac:dyDescent="0.35">
      <c r="A108" s="4" t="s">
        <v>7</v>
      </c>
      <c r="B108" s="5" t="s">
        <v>8</v>
      </c>
      <c r="C108" s="5"/>
      <c r="D108" s="5"/>
      <c r="E108" s="5"/>
      <c r="F108" s="5"/>
      <c r="G108" s="5"/>
      <c r="H108" s="5"/>
      <c r="I108" s="5"/>
    </row>
    <row r="110" spans="1:9" x14ac:dyDescent="0.35">
      <c r="A110" s="3" t="s">
        <v>9</v>
      </c>
    </row>
    <row r="111" spans="1:9" x14ac:dyDescent="0.35">
      <c r="A111" s="3" t="s">
        <v>10</v>
      </c>
      <c r="B111" s="3" t="s">
        <v>11</v>
      </c>
      <c r="C111" s="3" t="s">
        <v>7</v>
      </c>
      <c r="D111" s="8" t="s">
        <v>12</v>
      </c>
      <c r="E111" s="3" t="s">
        <v>4</v>
      </c>
      <c r="F111" s="3" t="s">
        <v>13</v>
      </c>
      <c r="G111" s="3" t="s">
        <v>14</v>
      </c>
      <c r="H111" s="3" t="s">
        <v>15</v>
      </c>
      <c r="I111" t="s">
        <v>3</v>
      </c>
    </row>
    <row r="112" spans="1:9" x14ac:dyDescent="0.35">
      <c r="A112" t="str">
        <f>B104</f>
        <v>Landfill_terrebonne</v>
      </c>
      <c r="B112" t="s">
        <v>16</v>
      </c>
      <c r="C112" t="s">
        <v>8</v>
      </c>
      <c r="D112" s="12">
        <v>1</v>
      </c>
      <c r="E112" t="s">
        <v>5</v>
      </c>
      <c r="F112" t="str">
        <f>$B$1</f>
        <v>OWM Facilities</v>
      </c>
      <c r="G112" t="s">
        <v>17</v>
      </c>
    </row>
    <row r="113" spans="1:9" x14ac:dyDescent="0.35">
      <c r="A113" t="s">
        <v>45</v>
      </c>
      <c r="B113" t="s">
        <v>46</v>
      </c>
      <c r="C113" t="s">
        <v>44</v>
      </c>
      <c r="D113" s="13">
        <f>Transportation!B5</f>
        <v>32</v>
      </c>
      <c r="E113" t="s">
        <v>47</v>
      </c>
      <c r="F113" s="20" t="s">
        <v>174</v>
      </c>
      <c r="G113" t="s">
        <v>19</v>
      </c>
    </row>
    <row r="114" spans="1:9" x14ac:dyDescent="0.35">
      <c r="A114" t="s">
        <v>182</v>
      </c>
      <c r="B114" t="s">
        <v>183</v>
      </c>
      <c r="C114" t="s">
        <v>54</v>
      </c>
      <c r="D114" s="13">
        <v>0.68883085661884558</v>
      </c>
      <c r="E114" t="s">
        <v>50</v>
      </c>
      <c r="F114" s="20" t="s">
        <v>174</v>
      </c>
      <c r="G114" t="s">
        <v>19</v>
      </c>
      <c r="I114" t="s">
        <v>37</v>
      </c>
    </row>
    <row r="115" spans="1:9" x14ac:dyDescent="0.35">
      <c r="A115" t="s">
        <v>122</v>
      </c>
      <c r="C115" t="s">
        <v>54</v>
      </c>
      <c r="D115" s="13">
        <v>73.250026790475331</v>
      </c>
      <c r="F115" s="20" t="s">
        <v>175</v>
      </c>
      <c r="G115" t="s">
        <v>60</v>
      </c>
      <c r="H115" t="s">
        <v>169</v>
      </c>
    </row>
    <row r="116" spans="1:9" x14ac:dyDescent="0.35">
      <c r="A116" t="s">
        <v>67</v>
      </c>
      <c r="C116" t="s">
        <v>54</v>
      </c>
      <c r="D116">
        <v>44.250229990800371</v>
      </c>
      <c r="F116" s="20" t="s">
        <v>175</v>
      </c>
      <c r="G116" t="s">
        <v>60</v>
      </c>
      <c r="H116" t="s">
        <v>61</v>
      </c>
    </row>
    <row r="117" spans="1:9" x14ac:dyDescent="0.35">
      <c r="A117" t="s">
        <v>171</v>
      </c>
      <c r="B117" t="s">
        <v>170</v>
      </c>
      <c r="C117" t="s">
        <v>57</v>
      </c>
      <c r="D117">
        <v>109.57129105566415</v>
      </c>
      <c r="E117" t="s">
        <v>178</v>
      </c>
      <c r="F117" s="20" t="s">
        <v>174</v>
      </c>
      <c r="G117" t="s">
        <v>68</v>
      </c>
    </row>
    <row r="118" spans="1:9" x14ac:dyDescent="0.35">
      <c r="A118" t="s">
        <v>65</v>
      </c>
      <c r="C118" t="s">
        <v>54</v>
      </c>
      <c r="D118">
        <v>9.8470135268663328E-2</v>
      </c>
      <c r="F118" s="20" t="s">
        <v>175</v>
      </c>
      <c r="G118" t="s">
        <v>60</v>
      </c>
      <c r="H118" t="s">
        <v>61</v>
      </c>
      <c r="I118" t="s">
        <v>33</v>
      </c>
    </row>
    <row r="119" spans="1:9" x14ac:dyDescent="0.35">
      <c r="A119" t="s">
        <v>64</v>
      </c>
      <c r="C119" t="s">
        <v>54</v>
      </c>
      <c r="D119">
        <v>410.59899826229173</v>
      </c>
      <c r="F119" s="20" t="s">
        <v>175</v>
      </c>
      <c r="G119" t="s">
        <v>60</v>
      </c>
      <c r="H119" t="s">
        <v>61</v>
      </c>
      <c r="I119" t="s">
        <v>33</v>
      </c>
    </row>
    <row r="120" spans="1:9" x14ac:dyDescent="0.35">
      <c r="A120" t="s">
        <v>34</v>
      </c>
      <c r="B120" t="s">
        <v>35</v>
      </c>
      <c r="C120" t="s">
        <v>36</v>
      </c>
      <c r="D120">
        <v>36.273732772249062</v>
      </c>
      <c r="E120" t="s">
        <v>5</v>
      </c>
      <c r="F120" t="s">
        <v>174</v>
      </c>
      <c r="G120" t="s">
        <v>19</v>
      </c>
    </row>
    <row r="121" spans="1:9" x14ac:dyDescent="0.35">
      <c r="A121" s="1" t="s">
        <v>2</v>
      </c>
      <c r="B121" t="s">
        <v>21</v>
      </c>
      <c r="C121" s="2"/>
      <c r="D121" s="2"/>
      <c r="E121" s="2"/>
      <c r="F121" s="2"/>
      <c r="G121" s="2"/>
      <c r="H121" s="2"/>
      <c r="I121" s="2"/>
    </row>
    <row r="122" spans="1:9" x14ac:dyDescent="0.35">
      <c r="A122" s="3" t="s">
        <v>3</v>
      </c>
      <c r="B122" t="s">
        <v>240</v>
      </c>
    </row>
    <row r="123" spans="1:9" x14ac:dyDescent="0.35">
      <c r="A123" s="4" t="s">
        <v>4</v>
      </c>
      <c r="B123" s="5" t="s">
        <v>5</v>
      </c>
      <c r="C123" s="5"/>
      <c r="D123" s="5"/>
      <c r="E123" s="5"/>
      <c r="F123" s="5"/>
      <c r="G123" s="5"/>
      <c r="H123" s="5"/>
      <c r="I123" s="5"/>
    </row>
    <row r="124" spans="1:9" x14ac:dyDescent="0.35">
      <c r="A124" s="4" t="s">
        <v>6</v>
      </c>
      <c r="B124" s="6">
        <v>1</v>
      </c>
      <c r="C124" s="5"/>
      <c r="D124" s="5"/>
      <c r="E124" s="5"/>
      <c r="F124" s="5"/>
      <c r="G124" s="5"/>
      <c r="H124" s="5"/>
      <c r="I124" s="5"/>
    </row>
    <row r="125" spans="1:9" x14ac:dyDescent="0.35">
      <c r="A125" s="4" t="s">
        <v>7</v>
      </c>
      <c r="B125" s="5" t="s">
        <v>8</v>
      </c>
      <c r="C125" s="5"/>
      <c r="D125" s="5"/>
      <c r="E125" s="5"/>
      <c r="F125" s="5"/>
      <c r="G125" s="5"/>
      <c r="H125" s="5"/>
      <c r="I125" s="5"/>
    </row>
    <row r="127" spans="1:9" x14ac:dyDescent="0.35">
      <c r="A127" s="3" t="s">
        <v>9</v>
      </c>
    </row>
    <row r="128" spans="1:9" x14ac:dyDescent="0.35">
      <c r="A128" s="3" t="s">
        <v>10</v>
      </c>
      <c r="B128" s="3" t="s">
        <v>11</v>
      </c>
      <c r="C128" s="3" t="s">
        <v>7</v>
      </c>
      <c r="D128" s="8" t="s">
        <v>12</v>
      </c>
      <c r="E128" s="3" t="s">
        <v>4</v>
      </c>
      <c r="F128" s="3" t="s">
        <v>13</v>
      </c>
      <c r="G128" s="3" t="s">
        <v>14</v>
      </c>
      <c r="H128" s="3" t="s">
        <v>15</v>
      </c>
      <c r="I128" t="s">
        <v>3</v>
      </c>
    </row>
    <row r="129" spans="1:9" x14ac:dyDescent="0.35">
      <c r="A129" t="str">
        <f>B121</f>
        <v>Landfill_saint_thomas</v>
      </c>
      <c r="B129" t="s">
        <v>16</v>
      </c>
      <c r="C129" t="s">
        <v>8</v>
      </c>
      <c r="D129" s="12">
        <v>1</v>
      </c>
      <c r="E129" t="s">
        <v>5</v>
      </c>
      <c r="F129" t="str">
        <f>$B$1</f>
        <v>OWM Facilities</v>
      </c>
      <c r="G129" t="s">
        <v>17</v>
      </c>
    </row>
    <row r="130" spans="1:9" x14ac:dyDescent="0.35">
      <c r="A130" t="s">
        <v>45</v>
      </c>
      <c r="B130" t="s">
        <v>46</v>
      </c>
      <c r="C130" t="s">
        <v>44</v>
      </c>
      <c r="D130" s="13">
        <f>Transportation!B6</f>
        <v>74</v>
      </c>
      <c r="E130" t="s">
        <v>47</v>
      </c>
      <c r="F130" s="20" t="s">
        <v>174</v>
      </c>
      <c r="G130" t="s">
        <v>19</v>
      </c>
    </row>
    <row r="131" spans="1:9" x14ac:dyDescent="0.35">
      <c r="A131" t="s">
        <v>182</v>
      </c>
      <c r="B131" t="s">
        <v>183</v>
      </c>
      <c r="C131" t="s">
        <v>54</v>
      </c>
      <c r="D131">
        <v>0.68883085661884558</v>
      </c>
      <c r="E131" t="s">
        <v>50</v>
      </c>
      <c r="F131" s="20" t="s">
        <v>174</v>
      </c>
      <c r="G131" t="s">
        <v>19</v>
      </c>
      <c r="I131" t="s">
        <v>37</v>
      </c>
    </row>
    <row r="132" spans="1:9" x14ac:dyDescent="0.35">
      <c r="A132" t="s">
        <v>122</v>
      </c>
      <c r="C132" t="s">
        <v>54</v>
      </c>
      <c r="D132" s="13">
        <v>73.250026790475331</v>
      </c>
      <c r="F132" s="20" t="s">
        <v>175</v>
      </c>
      <c r="G132" t="s">
        <v>60</v>
      </c>
      <c r="H132" t="s">
        <v>169</v>
      </c>
    </row>
    <row r="133" spans="1:9" x14ac:dyDescent="0.35">
      <c r="A133" t="s">
        <v>67</v>
      </c>
      <c r="C133" t="s">
        <v>54</v>
      </c>
      <c r="D133">
        <v>44.250229990800371</v>
      </c>
      <c r="F133" s="20" t="s">
        <v>175</v>
      </c>
      <c r="G133" t="s">
        <v>60</v>
      </c>
      <c r="H133" t="s">
        <v>61</v>
      </c>
    </row>
    <row r="134" spans="1:9" x14ac:dyDescent="0.35">
      <c r="A134" t="s">
        <v>171</v>
      </c>
      <c r="B134" t="s">
        <v>170</v>
      </c>
      <c r="C134" t="s">
        <v>57</v>
      </c>
      <c r="D134">
        <v>109.57129105566415</v>
      </c>
      <c r="E134" t="s">
        <v>178</v>
      </c>
      <c r="F134" s="20" t="s">
        <v>174</v>
      </c>
      <c r="G134" t="s">
        <v>68</v>
      </c>
    </row>
    <row r="135" spans="1:9" x14ac:dyDescent="0.35">
      <c r="A135" t="s">
        <v>65</v>
      </c>
      <c r="C135" t="s">
        <v>54</v>
      </c>
      <c r="D135">
        <v>9.8470135268663328E-2</v>
      </c>
      <c r="F135" t="s">
        <v>175</v>
      </c>
      <c r="G135" t="s">
        <v>60</v>
      </c>
      <c r="H135" t="s">
        <v>61</v>
      </c>
      <c r="I135" t="s">
        <v>33</v>
      </c>
    </row>
    <row r="136" spans="1:9" x14ac:dyDescent="0.35">
      <c r="A136" t="s">
        <v>64</v>
      </c>
      <c r="C136" t="s">
        <v>54</v>
      </c>
      <c r="D136">
        <v>410.59899826229173</v>
      </c>
      <c r="F136" t="s">
        <v>175</v>
      </c>
      <c r="G136" t="s">
        <v>60</v>
      </c>
      <c r="H136" t="s">
        <v>61</v>
      </c>
      <c r="I136" t="s">
        <v>33</v>
      </c>
    </row>
    <row r="137" spans="1:9" x14ac:dyDescent="0.35">
      <c r="A137" t="s">
        <v>34</v>
      </c>
      <c r="B137" t="s">
        <v>35</v>
      </c>
      <c r="C137" t="s">
        <v>36</v>
      </c>
      <c r="D137">
        <v>36.273732772249062</v>
      </c>
      <c r="E137" t="s">
        <v>5</v>
      </c>
      <c r="F137" s="20" t="s">
        <v>174</v>
      </c>
      <c r="G137" t="str">
        <f>G131</f>
        <v>technosphere</v>
      </c>
    </row>
    <row r="138" spans="1:9" x14ac:dyDescent="0.35">
      <c r="D138" s="11"/>
    </row>
    <row r="139" spans="1:9" x14ac:dyDescent="0.35">
      <c r="D139" s="11"/>
    </row>
    <row r="140" spans="1:9" x14ac:dyDescent="0.35">
      <c r="A140" s="1" t="s">
        <v>2</v>
      </c>
      <c r="B140" t="s">
        <v>22</v>
      </c>
      <c r="C140" s="2"/>
      <c r="D140" s="2"/>
      <c r="E140" s="2"/>
      <c r="F140" s="2"/>
      <c r="G140" s="2"/>
      <c r="H140" s="2"/>
      <c r="I140" s="2"/>
    </row>
    <row r="141" spans="1:9" x14ac:dyDescent="0.35">
      <c r="A141" s="3" t="s">
        <v>3</v>
      </c>
      <c r="B141" t="s">
        <v>240</v>
      </c>
    </row>
    <row r="142" spans="1:9" x14ac:dyDescent="0.35">
      <c r="A142" s="4" t="s">
        <v>4</v>
      </c>
      <c r="B142" s="5" t="s">
        <v>5</v>
      </c>
      <c r="C142" s="5"/>
      <c r="D142" s="5"/>
      <c r="E142" s="5"/>
      <c r="F142" s="5"/>
      <c r="G142" s="5"/>
      <c r="H142" s="5"/>
      <c r="I142" s="5"/>
    </row>
    <row r="143" spans="1:9" x14ac:dyDescent="0.35">
      <c r="A143" s="4" t="s">
        <v>6</v>
      </c>
      <c r="B143" s="6">
        <v>1</v>
      </c>
      <c r="C143" s="5"/>
      <c r="D143" s="5"/>
      <c r="E143" s="5"/>
      <c r="F143" s="5"/>
      <c r="G143" s="5"/>
      <c r="H143" s="5"/>
      <c r="I143" s="5"/>
    </row>
    <row r="144" spans="1:9" x14ac:dyDescent="0.35">
      <c r="A144" s="4" t="s">
        <v>7</v>
      </c>
      <c r="B144" s="5" t="s">
        <v>8</v>
      </c>
      <c r="C144" s="5"/>
      <c r="D144" s="5"/>
      <c r="E144" s="5"/>
      <c r="F144" s="5"/>
      <c r="G144" s="5"/>
      <c r="H144" s="5"/>
      <c r="I144" s="5"/>
    </row>
    <row r="146" spans="1:9" x14ac:dyDescent="0.35">
      <c r="A146" s="3" t="s">
        <v>9</v>
      </c>
      <c r="I146" s="14"/>
    </row>
    <row r="147" spans="1:9" x14ac:dyDescent="0.35">
      <c r="A147" s="3" t="s">
        <v>10</v>
      </c>
      <c r="B147" s="3" t="s">
        <v>11</v>
      </c>
      <c r="C147" s="3" t="s">
        <v>7</v>
      </c>
      <c r="D147" s="8" t="s">
        <v>12</v>
      </c>
      <c r="E147" s="3" t="s">
        <v>4</v>
      </c>
      <c r="F147" s="3" t="s">
        <v>13</v>
      </c>
      <c r="G147" s="3" t="s">
        <v>14</v>
      </c>
      <c r="H147" s="3" t="s">
        <v>15</v>
      </c>
      <c r="I147" t="s">
        <v>3</v>
      </c>
    </row>
    <row r="148" spans="1:9" x14ac:dyDescent="0.35">
      <c r="A148" t="str">
        <f>B140</f>
        <v>Landfill_lachute</v>
      </c>
      <c r="B148" t="s">
        <v>16</v>
      </c>
      <c r="C148" t="s">
        <v>8</v>
      </c>
      <c r="D148" s="12">
        <v>1</v>
      </c>
      <c r="E148" t="s">
        <v>5</v>
      </c>
      <c r="F148" t="str">
        <f>$B$1</f>
        <v>OWM Facilities</v>
      </c>
      <c r="G148" t="s">
        <v>17</v>
      </c>
    </row>
    <row r="149" spans="1:9" x14ac:dyDescent="0.35">
      <c r="A149" t="s">
        <v>45</v>
      </c>
      <c r="B149" t="s">
        <v>46</v>
      </c>
      <c r="C149" t="s">
        <v>44</v>
      </c>
      <c r="D149" s="13">
        <f>Transportation!B7</f>
        <v>77.400000000000006</v>
      </c>
      <c r="E149" t="s">
        <v>47</v>
      </c>
      <c r="F149" s="20" t="s">
        <v>174</v>
      </c>
      <c r="G149" t="s">
        <v>19</v>
      </c>
    </row>
    <row r="150" spans="1:9" x14ac:dyDescent="0.35">
      <c r="A150" t="s">
        <v>182</v>
      </c>
      <c r="B150" t="s">
        <v>183</v>
      </c>
      <c r="C150" t="s">
        <v>54</v>
      </c>
      <c r="D150">
        <v>0.68883085661884558</v>
      </c>
      <c r="E150" t="s">
        <v>50</v>
      </c>
      <c r="F150" s="20" t="s">
        <v>174</v>
      </c>
      <c r="G150" t="s">
        <v>19</v>
      </c>
      <c r="I150" t="s">
        <v>37</v>
      </c>
    </row>
    <row r="151" spans="1:9" x14ac:dyDescent="0.35">
      <c r="A151" t="s">
        <v>122</v>
      </c>
      <c r="C151" t="s">
        <v>54</v>
      </c>
      <c r="D151" s="13">
        <v>73.250026790475331</v>
      </c>
      <c r="F151" s="20" t="s">
        <v>175</v>
      </c>
      <c r="G151" t="s">
        <v>60</v>
      </c>
      <c r="H151" t="s">
        <v>169</v>
      </c>
    </row>
    <row r="152" spans="1:9" x14ac:dyDescent="0.35">
      <c r="A152" t="s">
        <v>67</v>
      </c>
      <c r="C152" t="s">
        <v>54</v>
      </c>
      <c r="D152">
        <v>44.250229990800371</v>
      </c>
      <c r="F152" s="20" t="s">
        <v>175</v>
      </c>
      <c r="G152" t="s">
        <v>60</v>
      </c>
      <c r="H152" t="s">
        <v>61</v>
      </c>
    </row>
    <row r="153" spans="1:9" x14ac:dyDescent="0.35">
      <c r="A153" t="s">
        <v>34</v>
      </c>
      <c r="B153" t="s">
        <v>35</v>
      </c>
      <c r="C153" t="s">
        <v>36</v>
      </c>
      <c r="D153">
        <f>'Comparing models'!D28</f>
        <v>36.273732772249062</v>
      </c>
      <c r="E153" t="s">
        <v>5</v>
      </c>
      <c r="F153" s="20" t="s">
        <v>174</v>
      </c>
      <c r="G153" t="s">
        <v>19</v>
      </c>
    </row>
    <row r="154" spans="1:9" x14ac:dyDescent="0.35">
      <c r="A154" t="s">
        <v>65</v>
      </c>
      <c r="C154" t="s">
        <v>54</v>
      </c>
      <c r="D154">
        <v>9.8470135268663328E-2</v>
      </c>
      <c r="F154" t="s">
        <v>175</v>
      </c>
      <c r="G154" t="s">
        <v>60</v>
      </c>
      <c r="H154" t="s">
        <v>61</v>
      </c>
      <c r="I154" t="s">
        <v>33</v>
      </c>
    </row>
    <row r="155" spans="1:9" x14ac:dyDescent="0.35">
      <c r="A155" t="s">
        <v>34</v>
      </c>
      <c r="B155" t="s">
        <v>35</v>
      </c>
      <c r="C155" t="s">
        <v>36</v>
      </c>
      <c r="D155">
        <f>D172</f>
        <v>80.908165582352993</v>
      </c>
      <c r="E155" t="s">
        <v>5</v>
      </c>
      <c r="F155" s="20" t="s">
        <v>174</v>
      </c>
      <c r="G155" t="s">
        <v>68</v>
      </c>
    </row>
    <row r="156" spans="1:9" x14ac:dyDescent="0.35">
      <c r="A156" t="s">
        <v>64</v>
      </c>
      <c r="C156" t="s">
        <v>54</v>
      </c>
      <c r="D156">
        <v>410.59899826229173</v>
      </c>
      <c r="F156" t="s">
        <v>175</v>
      </c>
      <c r="G156" t="s">
        <v>60</v>
      </c>
      <c r="H156" t="s">
        <v>61</v>
      </c>
      <c r="I156" t="s">
        <v>33</v>
      </c>
    </row>
    <row r="157" spans="1:9" x14ac:dyDescent="0.35">
      <c r="A157" s="1" t="s">
        <v>2</v>
      </c>
      <c r="B157" t="s">
        <v>23</v>
      </c>
      <c r="C157" s="2"/>
      <c r="D157" s="2"/>
      <c r="E157" s="2"/>
      <c r="F157" s="2"/>
      <c r="G157" s="2"/>
      <c r="H157" s="2"/>
      <c r="I157" s="2"/>
    </row>
    <row r="158" spans="1:9" x14ac:dyDescent="0.35">
      <c r="A158" s="3" t="s">
        <v>3</v>
      </c>
      <c r="B158" t="s">
        <v>240</v>
      </c>
    </row>
    <row r="159" spans="1:9" x14ac:dyDescent="0.35">
      <c r="A159" s="4" t="s">
        <v>4</v>
      </c>
      <c r="B159" s="5" t="s">
        <v>5</v>
      </c>
      <c r="C159" s="5"/>
      <c r="D159" s="5"/>
      <c r="E159" s="5"/>
      <c r="F159" s="5"/>
      <c r="G159" s="5"/>
      <c r="H159" s="5"/>
      <c r="I159" s="5"/>
    </row>
    <row r="160" spans="1:9" x14ac:dyDescent="0.35">
      <c r="A160" s="4" t="s">
        <v>6</v>
      </c>
      <c r="B160" s="6">
        <v>1</v>
      </c>
      <c r="C160" s="5"/>
      <c r="D160" s="5"/>
      <c r="E160" s="5"/>
      <c r="F160" s="5"/>
      <c r="G160" s="5"/>
      <c r="H160" s="5"/>
      <c r="I160" s="5"/>
    </row>
    <row r="161" spans="1:9" x14ac:dyDescent="0.35">
      <c r="A161" s="4" t="s">
        <v>7</v>
      </c>
      <c r="B161" s="5" t="s">
        <v>8</v>
      </c>
      <c r="C161" s="5"/>
      <c r="D161" s="5"/>
      <c r="E161" s="5"/>
      <c r="F161" s="5"/>
      <c r="G161" s="5"/>
      <c r="H161" s="5"/>
      <c r="I161" s="5"/>
    </row>
    <row r="163" spans="1:9" x14ac:dyDescent="0.35">
      <c r="A163" s="3" t="s">
        <v>9</v>
      </c>
    </row>
    <row r="164" spans="1:9" x14ac:dyDescent="0.35">
      <c r="A164" s="3" t="s">
        <v>10</v>
      </c>
      <c r="B164" s="3" t="s">
        <v>11</v>
      </c>
      <c r="C164" s="3" t="s">
        <v>7</v>
      </c>
      <c r="D164" s="8" t="s">
        <v>12</v>
      </c>
      <c r="E164" s="3" t="s">
        <v>4</v>
      </c>
      <c r="F164" s="3" t="s">
        <v>13</v>
      </c>
      <c r="G164" s="3" t="s">
        <v>14</v>
      </c>
      <c r="H164" s="3" t="s">
        <v>15</v>
      </c>
      <c r="I164" t="s">
        <v>3</v>
      </c>
    </row>
    <row r="165" spans="1:9" x14ac:dyDescent="0.35">
      <c r="A165" t="str">
        <f>B157</f>
        <v>Landfill_st-nicephore</v>
      </c>
      <c r="B165" t="s">
        <v>16</v>
      </c>
      <c r="C165" t="s">
        <v>8</v>
      </c>
      <c r="D165" s="12">
        <v>1</v>
      </c>
      <c r="E165" t="s">
        <v>5</v>
      </c>
      <c r="F165" t="str">
        <f>$B$1</f>
        <v>OWM Facilities</v>
      </c>
      <c r="G165" t="s">
        <v>17</v>
      </c>
    </row>
    <row r="166" spans="1:9" x14ac:dyDescent="0.35">
      <c r="A166" t="s">
        <v>45</v>
      </c>
      <c r="B166" t="s">
        <v>46</v>
      </c>
      <c r="C166" t="s">
        <v>44</v>
      </c>
      <c r="D166" s="13">
        <f>Transportation!B8</f>
        <v>123</v>
      </c>
      <c r="E166" t="s">
        <v>47</v>
      </c>
      <c r="F166" s="20" t="s">
        <v>174</v>
      </c>
      <c r="G166" t="s">
        <v>19</v>
      </c>
    </row>
    <row r="167" spans="1:9" x14ac:dyDescent="0.35">
      <c r="A167" t="s">
        <v>182</v>
      </c>
      <c r="B167" t="s">
        <v>183</v>
      </c>
      <c r="C167" t="s">
        <v>54</v>
      </c>
      <c r="D167">
        <v>0.68883085661884558</v>
      </c>
      <c r="E167" t="s">
        <v>50</v>
      </c>
      <c r="F167" s="20" t="s">
        <v>174</v>
      </c>
      <c r="G167" t="s">
        <v>19</v>
      </c>
      <c r="I167" t="s">
        <v>37</v>
      </c>
    </row>
    <row r="168" spans="1:9" x14ac:dyDescent="0.35">
      <c r="A168" t="s">
        <v>122</v>
      </c>
      <c r="C168" t="s">
        <v>54</v>
      </c>
      <c r="D168" s="13">
        <v>73.250026790475331</v>
      </c>
      <c r="F168" s="20" t="s">
        <v>175</v>
      </c>
      <c r="G168" t="s">
        <v>60</v>
      </c>
      <c r="H168" t="s">
        <v>169</v>
      </c>
    </row>
    <row r="169" spans="1:9" x14ac:dyDescent="0.35">
      <c r="A169" t="s">
        <v>67</v>
      </c>
      <c r="C169" t="s">
        <v>54</v>
      </c>
      <c r="D169">
        <v>44.250229990800371</v>
      </c>
      <c r="F169" s="20" t="s">
        <v>175</v>
      </c>
      <c r="G169" t="s">
        <v>60</v>
      </c>
      <c r="H169" t="s">
        <v>61</v>
      </c>
    </row>
    <row r="170" spans="1:9" x14ac:dyDescent="0.35">
      <c r="A170" t="s">
        <v>34</v>
      </c>
      <c r="B170" t="s">
        <v>35</v>
      </c>
      <c r="C170" t="s">
        <v>36</v>
      </c>
      <c r="D170">
        <v>36.273732772249062</v>
      </c>
      <c r="E170" t="s">
        <v>5</v>
      </c>
      <c r="F170" s="20" t="s">
        <v>174</v>
      </c>
      <c r="G170" t="s">
        <v>19</v>
      </c>
    </row>
    <row r="171" spans="1:9" x14ac:dyDescent="0.35">
      <c r="A171" t="s">
        <v>65</v>
      </c>
      <c r="C171" t="s">
        <v>54</v>
      </c>
      <c r="D171">
        <v>9.8470135268663328E-2</v>
      </c>
      <c r="F171" t="s">
        <v>175</v>
      </c>
      <c r="G171" t="s">
        <v>60</v>
      </c>
      <c r="H171" t="s">
        <v>61</v>
      </c>
      <c r="I171" t="s">
        <v>33</v>
      </c>
    </row>
    <row r="172" spans="1:9" x14ac:dyDescent="0.35">
      <c r="A172" t="s">
        <v>34</v>
      </c>
      <c r="B172" t="s">
        <v>35</v>
      </c>
      <c r="C172" t="s">
        <v>36</v>
      </c>
      <c r="D172">
        <f>'Comparing models'!E24</f>
        <v>80.908165582352993</v>
      </c>
      <c r="E172" t="s">
        <v>5</v>
      </c>
      <c r="F172" s="20" t="s">
        <v>174</v>
      </c>
      <c r="G172" t="s">
        <v>68</v>
      </c>
    </row>
    <row r="173" spans="1:9" x14ac:dyDescent="0.35">
      <c r="A173" t="s">
        <v>64</v>
      </c>
      <c r="C173" t="s">
        <v>54</v>
      </c>
      <c r="D173">
        <v>410.59899826229173</v>
      </c>
      <c r="F173" t="s">
        <v>175</v>
      </c>
      <c r="G173" t="s">
        <v>60</v>
      </c>
      <c r="H173" t="s">
        <v>61</v>
      </c>
      <c r="I173" t="s">
        <v>33</v>
      </c>
    </row>
    <row r="174" spans="1:9" x14ac:dyDescent="0.35">
      <c r="A174" s="1" t="s">
        <v>2</v>
      </c>
      <c r="B174" t="s">
        <v>24</v>
      </c>
      <c r="C174" s="2"/>
      <c r="D174" s="2"/>
      <c r="E174" s="2"/>
      <c r="F174" s="2"/>
      <c r="G174" s="2"/>
      <c r="H174" s="2"/>
      <c r="I174" s="2"/>
    </row>
    <row r="175" spans="1:9" x14ac:dyDescent="0.35">
      <c r="A175" s="3" t="s">
        <v>3</v>
      </c>
      <c r="B175" t="s">
        <v>240</v>
      </c>
    </row>
    <row r="176" spans="1:9" x14ac:dyDescent="0.35">
      <c r="A176" s="4" t="s">
        <v>4</v>
      </c>
      <c r="B176" s="5" t="s">
        <v>5</v>
      </c>
      <c r="C176" s="5"/>
      <c r="D176" s="5"/>
      <c r="E176" s="5"/>
      <c r="F176" s="5"/>
      <c r="G176" s="5"/>
      <c r="H176" s="5"/>
      <c r="I176" s="5"/>
    </row>
    <row r="177" spans="1:9" x14ac:dyDescent="0.35">
      <c r="A177" s="4" t="s">
        <v>6</v>
      </c>
      <c r="B177" s="6">
        <v>1</v>
      </c>
      <c r="C177" s="5"/>
      <c r="D177" s="5"/>
      <c r="E177" s="5"/>
      <c r="F177" s="5"/>
      <c r="G177" s="5"/>
      <c r="H177" s="5"/>
      <c r="I177" s="5"/>
    </row>
    <row r="178" spans="1:9" x14ac:dyDescent="0.35">
      <c r="A178" s="4" t="s">
        <v>7</v>
      </c>
      <c r="B178" s="5" t="s">
        <v>8</v>
      </c>
      <c r="C178" s="5"/>
      <c r="D178" s="5"/>
      <c r="E178" s="5"/>
      <c r="F178" s="5"/>
      <c r="G178" s="5"/>
      <c r="H178" s="5"/>
      <c r="I178" s="5"/>
    </row>
    <row r="180" spans="1:9" x14ac:dyDescent="0.35">
      <c r="A180" s="3" t="s">
        <v>9</v>
      </c>
    </row>
    <row r="181" spans="1:9" x14ac:dyDescent="0.35">
      <c r="A181" s="3" t="s">
        <v>10</v>
      </c>
      <c r="B181" s="3" t="s">
        <v>11</v>
      </c>
      <c r="C181" s="3" t="s">
        <v>7</v>
      </c>
      <c r="D181" s="8" t="s">
        <v>12</v>
      </c>
      <c r="E181" s="3" t="s">
        <v>4</v>
      </c>
      <c r="F181" s="3" t="s">
        <v>13</v>
      </c>
      <c r="G181" s="3" t="s">
        <v>14</v>
      </c>
      <c r="H181" s="3" t="s">
        <v>15</v>
      </c>
      <c r="I181" t="s">
        <v>3</v>
      </c>
    </row>
    <row r="182" spans="1:9" x14ac:dyDescent="0.35">
      <c r="A182" t="str">
        <f>B174</f>
        <v>Landfill_cecile_de_milton</v>
      </c>
      <c r="B182" t="s">
        <v>16</v>
      </c>
      <c r="C182" t="s">
        <v>8</v>
      </c>
      <c r="D182" s="12">
        <v>1</v>
      </c>
      <c r="E182" t="s">
        <v>5</v>
      </c>
      <c r="F182" t="str">
        <f>$B$1</f>
        <v>OWM Facilities</v>
      </c>
      <c r="G182" t="s">
        <v>17</v>
      </c>
    </row>
    <row r="183" spans="1:9" x14ac:dyDescent="0.35">
      <c r="A183" t="s">
        <v>45</v>
      </c>
      <c r="B183" t="s">
        <v>46</v>
      </c>
      <c r="C183" t="s">
        <v>44</v>
      </c>
      <c r="D183" s="13">
        <f>Transportation!B9</f>
        <v>96</v>
      </c>
      <c r="E183" t="s">
        <v>47</v>
      </c>
      <c r="F183" s="20" t="s">
        <v>174</v>
      </c>
      <c r="G183" t="s">
        <v>19</v>
      </c>
    </row>
    <row r="184" spans="1:9" x14ac:dyDescent="0.35">
      <c r="A184" t="s">
        <v>182</v>
      </c>
      <c r="B184" t="s">
        <v>183</v>
      </c>
      <c r="C184" t="s">
        <v>54</v>
      </c>
      <c r="D184">
        <v>0.68883085661884558</v>
      </c>
      <c r="E184" t="s">
        <v>50</v>
      </c>
      <c r="F184" s="20" t="s">
        <v>174</v>
      </c>
      <c r="G184" t="s">
        <v>19</v>
      </c>
      <c r="I184" t="s">
        <v>37</v>
      </c>
    </row>
    <row r="185" spans="1:9" x14ac:dyDescent="0.35">
      <c r="A185" t="s">
        <v>122</v>
      </c>
      <c r="C185" t="s">
        <v>54</v>
      </c>
      <c r="D185" s="13">
        <v>73.250026790475331</v>
      </c>
      <c r="F185" s="20" t="s">
        <v>175</v>
      </c>
      <c r="G185" t="s">
        <v>60</v>
      </c>
      <c r="H185" t="s">
        <v>169</v>
      </c>
    </row>
    <row r="186" spans="1:9" x14ac:dyDescent="0.35">
      <c r="A186" t="s">
        <v>67</v>
      </c>
      <c r="C186" t="s">
        <v>54</v>
      </c>
      <c r="D186">
        <v>44.250229990800371</v>
      </c>
      <c r="F186" s="20" t="s">
        <v>175</v>
      </c>
      <c r="G186" t="s">
        <v>60</v>
      </c>
      <c r="H186" t="s">
        <v>61</v>
      </c>
    </row>
    <row r="187" spans="1:9" x14ac:dyDescent="0.35">
      <c r="A187" t="s">
        <v>34</v>
      </c>
      <c r="B187" t="s">
        <v>35</v>
      </c>
      <c r="C187" t="s">
        <v>36</v>
      </c>
      <c r="D187">
        <v>36.273732772249062</v>
      </c>
      <c r="E187" t="s">
        <v>5</v>
      </c>
      <c r="F187" s="20" t="s">
        <v>174</v>
      </c>
      <c r="G187" t="str">
        <f>G170</f>
        <v>technosphere</v>
      </c>
    </row>
    <row r="188" spans="1:9" x14ac:dyDescent="0.35">
      <c r="A188" t="s">
        <v>65</v>
      </c>
      <c r="C188" t="s">
        <v>54</v>
      </c>
      <c r="D188">
        <v>9.8470135268663328E-2</v>
      </c>
      <c r="F188" t="s">
        <v>175</v>
      </c>
      <c r="G188" t="s">
        <v>60</v>
      </c>
      <c r="H188" t="s">
        <v>61</v>
      </c>
      <c r="I188" t="s">
        <v>33</v>
      </c>
    </row>
    <row r="189" spans="1:9" x14ac:dyDescent="0.35">
      <c r="A189" t="s">
        <v>34</v>
      </c>
      <c r="B189" t="s">
        <v>35</v>
      </c>
      <c r="C189" t="s">
        <v>36</v>
      </c>
      <c r="D189">
        <f>D172</f>
        <v>80.908165582352993</v>
      </c>
      <c r="E189" t="s">
        <v>5</v>
      </c>
      <c r="F189" s="20" t="s">
        <v>174</v>
      </c>
      <c r="G189" t="s">
        <v>68</v>
      </c>
    </row>
    <row r="190" spans="1:9" x14ac:dyDescent="0.35">
      <c r="A190" t="s">
        <v>64</v>
      </c>
      <c r="C190" t="s">
        <v>54</v>
      </c>
      <c r="D190">
        <v>410.59899826229173</v>
      </c>
      <c r="F190" t="s">
        <v>175</v>
      </c>
      <c r="G190" t="s">
        <v>60</v>
      </c>
      <c r="H190" t="s">
        <v>61</v>
      </c>
      <c r="I190" t="s">
        <v>33</v>
      </c>
    </row>
    <row r="191" spans="1:9" x14ac:dyDescent="0.35">
      <c r="A191" s="1" t="s">
        <v>2</v>
      </c>
      <c r="B191" t="s">
        <v>25</v>
      </c>
      <c r="C191" s="2"/>
      <c r="D191" s="2"/>
      <c r="E191" s="2"/>
      <c r="F191" s="2"/>
      <c r="G191" s="2"/>
      <c r="H191" s="2"/>
      <c r="I191" s="2"/>
    </row>
    <row r="192" spans="1:9" x14ac:dyDescent="0.35">
      <c r="A192" s="3" t="s">
        <v>3</v>
      </c>
      <c r="B192" t="s">
        <v>137</v>
      </c>
    </row>
    <row r="193" spans="1:9" x14ac:dyDescent="0.35">
      <c r="A193" s="4" t="s">
        <v>4</v>
      </c>
      <c r="B193" s="5" t="s">
        <v>5</v>
      </c>
      <c r="C193" s="5"/>
      <c r="D193" s="5"/>
      <c r="E193" s="5"/>
      <c r="F193" s="5"/>
      <c r="G193" s="5"/>
      <c r="H193" s="5"/>
      <c r="I193" s="5"/>
    </row>
    <row r="194" spans="1:9" x14ac:dyDescent="0.35">
      <c r="A194" s="4" t="s">
        <v>6</v>
      </c>
      <c r="B194" s="6">
        <v>1</v>
      </c>
      <c r="C194" s="5"/>
      <c r="D194" s="5"/>
      <c r="E194" s="5"/>
      <c r="F194" s="5"/>
      <c r="G194" s="5"/>
      <c r="H194" s="5"/>
      <c r="I194" s="5"/>
    </row>
    <row r="195" spans="1:9" x14ac:dyDescent="0.35">
      <c r="A195" s="4" t="s">
        <v>7</v>
      </c>
      <c r="B195" s="7" t="s">
        <v>8</v>
      </c>
      <c r="C195" s="5"/>
      <c r="D195" s="5"/>
      <c r="E195" s="5"/>
      <c r="F195" s="5"/>
      <c r="G195" s="5"/>
      <c r="H195" s="5"/>
      <c r="I195" s="5"/>
    </row>
    <row r="197" spans="1:9" x14ac:dyDescent="0.35">
      <c r="A197" s="3" t="s">
        <v>9</v>
      </c>
    </row>
    <row r="198" spans="1:9" x14ac:dyDescent="0.35">
      <c r="A198" s="3" t="s">
        <v>10</v>
      </c>
      <c r="B198" s="3" t="s">
        <v>11</v>
      </c>
      <c r="C198" s="3" t="s">
        <v>7</v>
      </c>
      <c r="D198" s="8" t="s">
        <v>12</v>
      </c>
      <c r="E198" s="3" t="s">
        <v>4</v>
      </c>
      <c r="F198" s="3" t="s">
        <v>13</v>
      </c>
      <c r="G198" s="3" t="s">
        <v>14</v>
      </c>
      <c r="H198" s="3" t="s">
        <v>15</v>
      </c>
      <c r="I198" t="s">
        <v>3</v>
      </c>
    </row>
    <row r="199" spans="1:9" x14ac:dyDescent="0.35">
      <c r="A199" t="str">
        <f>B191</f>
        <v>Composter_casselman</v>
      </c>
      <c r="B199" t="s">
        <v>16</v>
      </c>
      <c r="C199" t="s">
        <v>8</v>
      </c>
      <c r="D199" s="9">
        <v>1</v>
      </c>
      <c r="E199" t="s">
        <v>5</v>
      </c>
      <c r="F199" t="str">
        <f>$B$1</f>
        <v>OWM Facilities</v>
      </c>
      <c r="G199" t="s">
        <v>17</v>
      </c>
      <c r="H199" s="3"/>
      <c r="I199" t="s">
        <v>33</v>
      </c>
    </row>
    <row r="200" spans="1:9" x14ac:dyDescent="0.35">
      <c r="A200" s="9" t="s">
        <v>34</v>
      </c>
      <c r="B200" t="s">
        <v>35</v>
      </c>
      <c r="C200" t="s">
        <v>36</v>
      </c>
      <c r="D200">
        <v>1.6772116902968379</v>
      </c>
      <c r="E200" t="s">
        <v>5</v>
      </c>
      <c r="F200" s="20" t="s">
        <v>174</v>
      </c>
      <c r="G200" t="s">
        <v>19</v>
      </c>
      <c r="I200" t="s">
        <v>37</v>
      </c>
    </row>
    <row r="201" spans="1:9" x14ac:dyDescent="0.35">
      <c r="A201" t="s">
        <v>182</v>
      </c>
      <c r="B201" t="s">
        <v>183</v>
      </c>
      <c r="C201" t="s">
        <v>54</v>
      </c>
      <c r="D201" s="13">
        <v>2.5320055641349066</v>
      </c>
      <c r="E201" t="s">
        <v>50</v>
      </c>
      <c r="F201" s="20" t="s">
        <v>174</v>
      </c>
      <c r="G201" t="s">
        <v>19</v>
      </c>
      <c r="I201" t="s">
        <v>37</v>
      </c>
    </row>
    <row r="202" spans="1:9" x14ac:dyDescent="0.35">
      <c r="A202" t="s">
        <v>45</v>
      </c>
      <c r="B202" t="s">
        <v>46</v>
      </c>
      <c r="C202" t="s">
        <v>44</v>
      </c>
      <c r="D202" s="10">
        <f>Transportation!B10</f>
        <v>133</v>
      </c>
      <c r="E202" t="s">
        <v>47</v>
      </c>
      <c r="F202" s="20" t="s">
        <v>174</v>
      </c>
      <c r="G202" t="s">
        <v>19</v>
      </c>
      <c r="I202" t="s">
        <v>37</v>
      </c>
    </row>
    <row r="203" spans="1:9" x14ac:dyDescent="0.35">
      <c r="A203" t="s">
        <v>177</v>
      </c>
      <c r="B203" t="s">
        <v>56</v>
      </c>
      <c r="C203" t="s">
        <v>57</v>
      </c>
      <c r="D203">
        <v>-7.28915519494213</v>
      </c>
      <c r="E203" t="s">
        <v>5</v>
      </c>
      <c r="F203" s="20" t="s">
        <v>174</v>
      </c>
      <c r="G203" t="s">
        <v>19</v>
      </c>
      <c r="I203" t="s">
        <v>33</v>
      </c>
    </row>
    <row r="204" spans="1:9" x14ac:dyDescent="0.35">
      <c r="A204" t="s">
        <v>63</v>
      </c>
      <c r="C204" t="s">
        <v>54</v>
      </c>
      <c r="D204">
        <v>5.6135340059469772E-4</v>
      </c>
      <c r="F204" s="20" t="s">
        <v>175</v>
      </c>
      <c r="G204" t="s">
        <v>60</v>
      </c>
      <c r="H204" t="s">
        <v>61</v>
      </c>
      <c r="I204" t="s">
        <v>33</v>
      </c>
    </row>
    <row r="205" spans="1:9" x14ac:dyDescent="0.35">
      <c r="A205" t="s">
        <v>65</v>
      </c>
      <c r="C205" t="s">
        <v>54</v>
      </c>
      <c r="D205">
        <v>0.2245413602378791</v>
      </c>
      <c r="F205" s="20" t="s">
        <v>175</v>
      </c>
      <c r="G205" t="s">
        <v>60</v>
      </c>
      <c r="H205" t="s">
        <v>61</v>
      </c>
      <c r="I205" t="s">
        <v>33</v>
      </c>
    </row>
    <row r="206" spans="1:9" x14ac:dyDescent="0.35">
      <c r="A206" t="s">
        <v>67</v>
      </c>
      <c r="C206" t="s">
        <v>54</v>
      </c>
      <c r="D206">
        <v>1.6279248617246236</v>
      </c>
      <c r="F206" s="20" t="s">
        <v>175</v>
      </c>
      <c r="G206" t="s">
        <v>60</v>
      </c>
      <c r="H206" t="s">
        <v>61</v>
      </c>
      <c r="I206" t="s">
        <v>33</v>
      </c>
    </row>
    <row r="207" spans="1:9" x14ac:dyDescent="0.35">
      <c r="A207" t="s">
        <v>179</v>
      </c>
      <c r="C207" t="s">
        <v>54</v>
      </c>
      <c r="D207" s="11">
        <v>1.0852832411497491E-3</v>
      </c>
      <c r="F207" s="20" t="s">
        <v>175</v>
      </c>
      <c r="G207" t="s">
        <v>60</v>
      </c>
      <c r="H207" t="s">
        <v>61</v>
      </c>
      <c r="I207" t="s">
        <v>33</v>
      </c>
    </row>
    <row r="208" spans="1:9" x14ac:dyDescent="0.35">
      <c r="A208" t="s">
        <v>166</v>
      </c>
      <c r="B208" t="s">
        <v>132</v>
      </c>
      <c r="C208" t="s">
        <v>54</v>
      </c>
      <c r="D208">
        <v>0.29528799999999999</v>
      </c>
      <c r="E208" t="s">
        <v>135</v>
      </c>
      <c r="F208" s="20" t="s">
        <v>174</v>
      </c>
      <c r="G208" t="s">
        <v>68</v>
      </c>
    </row>
    <row r="209" spans="1:9" x14ac:dyDescent="0.35">
      <c r="A209" t="s">
        <v>167</v>
      </c>
      <c r="B209" t="s">
        <v>133</v>
      </c>
      <c r="C209" t="s">
        <v>54</v>
      </c>
      <c r="D209">
        <v>0.168736</v>
      </c>
      <c r="E209" t="s">
        <v>135</v>
      </c>
      <c r="F209" s="20" t="s">
        <v>174</v>
      </c>
      <c r="G209" t="s">
        <v>68</v>
      </c>
    </row>
    <row r="210" spans="1:9" x14ac:dyDescent="0.35">
      <c r="A210" t="s">
        <v>180</v>
      </c>
      <c r="B210" t="s">
        <v>134</v>
      </c>
      <c r="C210" t="s">
        <v>54</v>
      </c>
      <c r="D210">
        <v>0.253104</v>
      </c>
      <c r="E210" t="s">
        <v>135</v>
      </c>
      <c r="F210" s="20" t="s">
        <v>174</v>
      </c>
      <c r="G210" t="s">
        <v>68</v>
      </c>
    </row>
    <row r="211" spans="1:9" x14ac:dyDescent="0.35">
      <c r="D211" s="10"/>
    </row>
    <row r="212" spans="1:9" x14ac:dyDescent="0.35">
      <c r="D212" s="10"/>
    </row>
    <row r="213" spans="1:9" x14ac:dyDescent="0.35">
      <c r="D213" s="11"/>
    </row>
    <row r="214" spans="1:9" x14ac:dyDescent="0.35">
      <c r="B214" s="11"/>
      <c r="D214" s="12"/>
      <c r="F214" s="20"/>
    </row>
    <row r="215" spans="1:9" x14ac:dyDescent="0.35">
      <c r="F215" s="20"/>
    </row>
    <row r="216" spans="1:9" x14ac:dyDescent="0.35">
      <c r="F216" s="20"/>
    </row>
    <row r="218" spans="1:9" x14ac:dyDescent="0.35">
      <c r="A218" s="1" t="s">
        <v>2</v>
      </c>
      <c r="B218" t="s">
        <v>26</v>
      </c>
      <c r="C218" s="2"/>
      <c r="D218" s="2"/>
      <c r="E218" s="2"/>
      <c r="F218" s="2"/>
      <c r="G218" s="2"/>
      <c r="H218" s="2"/>
      <c r="I218" s="2"/>
    </row>
    <row r="219" spans="1:9" x14ac:dyDescent="0.35">
      <c r="A219" s="3" t="s">
        <v>3</v>
      </c>
      <c r="B219" t="s">
        <v>137</v>
      </c>
    </row>
    <row r="220" spans="1:9" x14ac:dyDescent="0.35">
      <c r="A220" s="4" t="s">
        <v>4</v>
      </c>
      <c r="B220" s="5" t="s">
        <v>5</v>
      </c>
      <c r="C220" s="5"/>
      <c r="D220" s="5"/>
      <c r="E220" s="5"/>
      <c r="F220" s="5"/>
      <c r="G220" s="5"/>
      <c r="H220" s="5"/>
      <c r="I220" s="5"/>
    </row>
    <row r="221" spans="1:9" x14ac:dyDescent="0.35">
      <c r="A221" s="4" t="s">
        <v>6</v>
      </c>
      <c r="B221" s="6">
        <v>1</v>
      </c>
      <c r="C221" s="5"/>
      <c r="D221" s="5"/>
      <c r="E221" s="5"/>
      <c r="F221" s="5"/>
      <c r="G221" s="5"/>
      <c r="H221" s="5"/>
      <c r="I221" s="5"/>
    </row>
    <row r="222" spans="1:9" x14ac:dyDescent="0.35">
      <c r="A222" s="4" t="s">
        <v>7</v>
      </c>
      <c r="B222" s="7" t="s">
        <v>8</v>
      </c>
      <c r="C222" s="5"/>
      <c r="D222" s="5"/>
      <c r="E222" s="5"/>
      <c r="F222" s="5"/>
      <c r="G222" s="5"/>
      <c r="H222" s="5"/>
      <c r="I222" s="5"/>
    </row>
    <row r="224" spans="1:9" x14ac:dyDescent="0.35">
      <c r="A224" s="3" t="s">
        <v>9</v>
      </c>
    </row>
    <row r="225" spans="1:9" x14ac:dyDescent="0.35">
      <c r="A225" s="3" t="s">
        <v>10</v>
      </c>
      <c r="B225" s="3" t="s">
        <v>11</v>
      </c>
      <c r="C225" s="3" t="s">
        <v>7</v>
      </c>
      <c r="D225" s="8" t="s">
        <v>12</v>
      </c>
      <c r="E225" s="3" t="s">
        <v>4</v>
      </c>
      <c r="F225" s="3" t="s">
        <v>13</v>
      </c>
      <c r="G225" s="3" t="s">
        <v>14</v>
      </c>
      <c r="H225" s="3" t="s">
        <v>15</v>
      </c>
      <c r="I225" t="s">
        <v>3</v>
      </c>
    </row>
    <row r="226" spans="1:9" x14ac:dyDescent="0.35">
      <c r="A226" t="str">
        <f>B218</f>
        <v>Composter_complexe enviro st Michel</v>
      </c>
      <c r="B226" t="s">
        <v>16</v>
      </c>
      <c r="C226" t="s">
        <v>8</v>
      </c>
      <c r="D226" s="9">
        <v>1</v>
      </c>
      <c r="E226" t="s">
        <v>5</v>
      </c>
      <c r="F226" t="str">
        <f>$B$1</f>
        <v>OWM Facilities</v>
      </c>
      <c r="G226" t="s">
        <v>17</v>
      </c>
      <c r="H226" s="3"/>
      <c r="I226" t="s">
        <v>33</v>
      </c>
    </row>
    <row r="227" spans="1:9" x14ac:dyDescent="0.35">
      <c r="A227" s="9" t="s">
        <v>34</v>
      </c>
      <c r="B227" t="s">
        <v>35</v>
      </c>
      <c r="C227" t="s">
        <v>36</v>
      </c>
      <c r="D227">
        <v>1.6772116902968379</v>
      </c>
      <c r="E227" t="s">
        <v>5</v>
      </c>
      <c r="F227" s="20" t="s">
        <v>174</v>
      </c>
      <c r="G227" t="s">
        <v>19</v>
      </c>
      <c r="I227" t="s">
        <v>37</v>
      </c>
    </row>
    <row r="228" spans="1:9" x14ac:dyDescent="0.35">
      <c r="A228" t="s">
        <v>182</v>
      </c>
      <c r="B228" t="s">
        <v>183</v>
      </c>
      <c r="C228" t="s">
        <v>54</v>
      </c>
      <c r="D228" s="13">
        <v>2.5320055641349066</v>
      </c>
      <c r="E228" t="s">
        <v>50</v>
      </c>
      <c r="F228" s="20" t="s">
        <v>174</v>
      </c>
      <c r="G228" t="s">
        <v>19</v>
      </c>
      <c r="I228" t="s">
        <v>37</v>
      </c>
    </row>
    <row r="229" spans="1:9" x14ac:dyDescent="0.35">
      <c r="A229" t="s">
        <v>45</v>
      </c>
      <c r="B229" t="s">
        <v>46</v>
      </c>
      <c r="C229" t="s">
        <v>44</v>
      </c>
      <c r="D229" s="10">
        <f>Transportation!B11</f>
        <v>6</v>
      </c>
      <c r="E229" t="s">
        <v>47</v>
      </c>
      <c r="F229" s="20" t="s">
        <v>174</v>
      </c>
      <c r="G229" t="s">
        <v>19</v>
      </c>
      <c r="I229" t="s">
        <v>37</v>
      </c>
    </row>
    <row r="230" spans="1:9" x14ac:dyDescent="0.35">
      <c r="A230" t="s">
        <v>177</v>
      </c>
      <c r="B230" t="s">
        <v>56</v>
      </c>
      <c r="C230" t="s">
        <v>57</v>
      </c>
      <c r="D230">
        <v>-7.28915519494213</v>
      </c>
      <c r="E230" t="s">
        <v>5</v>
      </c>
      <c r="F230" s="20" t="s">
        <v>174</v>
      </c>
      <c r="G230" t="s">
        <v>19</v>
      </c>
      <c r="I230" t="s">
        <v>33</v>
      </c>
    </row>
    <row r="231" spans="1:9" x14ac:dyDescent="0.35">
      <c r="A231" t="s">
        <v>63</v>
      </c>
      <c r="C231" t="s">
        <v>54</v>
      </c>
      <c r="D231">
        <v>5.6135340059469772E-4</v>
      </c>
      <c r="F231" s="20" t="s">
        <v>175</v>
      </c>
      <c r="G231" t="s">
        <v>60</v>
      </c>
      <c r="H231" t="s">
        <v>61</v>
      </c>
      <c r="I231" t="s">
        <v>33</v>
      </c>
    </row>
    <row r="232" spans="1:9" x14ac:dyDescent="0.35">
      <c r="A232" t="s">
        <v>65</v>
      </c>
      <c r="C232" t="s">
        <v>54</v>
      </c>
      <c r="D232">
        <v>0.2245413602378791</v>
      </c>
      <c r="F232" s="20" t="s">
        <v>175</v>
      </c>
      <c r="G232" t="s">
        <v>60</v>
      </c>
      <c r="H232" t="s">
        <v>61</v>
      </c>
      <c r="I232" t="s">
        <v>33</v>
      </c>
    </row>
    <row r="233" spans="1:9" x14ac:dyDescent="0.35">
      <c r="A233" t="s">
        <v>67</v>
      </c>
      <c r="C233" t="s">
        <v>54</v>
      </c>
      <c r="D233" s="10">
        <v>1.6279248617246236</v>
      </c>
      <c r="F233" s="20" t="s">
        <v>175</v>
      </c>
      <c r="G233" t="s">
        <v>60</v>
      </c>
      <c r="H233" t="s">
        <v>61</v>
      </c>
      <c r="I233" t="s">
        <v>33</v>
      </c>
    </row>
    <row r="234" spans="1:9" x14ac:dyDescent="0.35">
      <c r="A234" t="s">
        <v>179</v>
      </c>
      <c r="C234" t="s">
        <v>54</v>
      </c>
      <c r="D234" s="11">
        <v>1.0852832411497491E-3</v>
      </c>
      <c r="F234" s="20" t="s">
        <v>175</v>
      </c>
      <c r="G234" t="s">
        <v>60</v>
      </c>
      <c r="H234" t="s">
        <v>61</v>
      </c>
      <c r="I234" t="s">
        <v>33</v>
      </c>
    </row>
    <row r="235" spans="1:9" x14ac:dyDescent="0.35">
      <c r="A235" t="s">
        <v>166</v>
      </c>
      <c r="B235" t="s">
        <v>132</v>
      </c>
      <c r="C235" t="s">
        <v>54</v>
      </c>
      <c r="D235">
        <v>0.29528799999999999</v>
      </c>
      <c r="E235" t="s">
        <v>135</v>
      </c>
      <c r="F235" s="20" t="s">
        <v>174</v>
      </c>
      <c r="G235" t="s">
        <v>68</v>
      </c>
    </row>
    <row r="236" spans="1:9" x14ac:dyDescent="0.35">
      <c r="A236" t="s">
        <v>167</v>
      </c>
      <c r="B236" t="s">
        <v>133</v>
      </c>
      <c r="C236" t="s">
        <v>54</v>
      </c>
      <c r="D236">
        <v>0.168736</v>
      </c>
      <c r="E236" t="s">
        <v>135</v>
      </c>
      <c r="F236" s="20" t="s">
        <v>174</v>
      </c>
      <c r="G236" t="s">
        <v>68</v>
      </c>
    </row>
    <row r="237" spans="1:9" x14ac:dyDescent="0.35">
      <c r="A237" t="s">
        <v>180</v>
      </c>
      <c r="B237" t="s">
        <v>134</v>
      </c>
      <c r="C237" t="s">
        <v>54</v>
      </c>
      <c r="D237">
        <v>0.253104</v>
      </c>
      <c r="E237" t="s">
        <v>135</v>
      </c>
      <c r="F237" s="20" t="s">
        <v>174</v>
      </c>
      <c r="G237" t="s">
        <v>68</v>
      </c>
    </row>
    <row r="238" spans="1:9" x14ac:dyDescent="0.35">
      <c r="D238" s="10"/>
    </row>
    <row r="239" spans="1:9" x14ac:dyDescent="0.35">
      <c r="D239" s="10"/>
    </row>
    <row r="240" spans="1:9" x14ac:dyDescent="0.35">
      <c r="D240" s="11"/>
    </row>
    <row r="241" spans="1:9" x14ac:dyDescent="0.35">
      <c r="B241" s="11"/>
      <c r="D241" s="12"/>
      <c r="F241" s="20"/>
    </row>
    <row r="242" spans="1:9" x14ac:dyDescent="0.35">
      <c r="F242" s="20"/>
    </row>
    <row r="243" spans="1:9" x14ac:dyDescent="0.35">
      <c r="F243" s="20"/>
    </row>
    <row r="245" spans="1:9" x14ac:dyDescent="0.35">
      <c r="A245" s="1" t="s">
        <v>2</v>
      </c>
      <c r="B245" t="s">
        <v>27</v>
      </c>
      <c r="C245" s="2"/>
      <c r="D245" s="2"/>
      <c r="E245" s="2"/>
      <c r="F245" s="2"/>
      <c r="G245" s="2"/>
      <c r="H245" s="2"/>
      <c r="I245" s="2"/>
    </row>
    <row r="246" spans="1:9" x14ac:dyDescent="0.35">
      <c r="A246" s="3" t="s">
        <v>3</v>
      </c>
      <c r="B246" t="s">
        <v>137</v>
      </c>
    </row>
    <row r="247" spans="1:9" x14ac:dyDescent="0.35">
      <c r="A247" s="4" t="s">
        <v>4</v>
      </c>
      <c r="B247" s="5" t="s">
        <v>5</v>
      </c>
      <c r="C247" s="5"/>
      <c r="D247" s="5"/>
      <c r="E247" s="5"/>
      <c r="F247" s="5"/>
      <c r="G247" s="5"/>
      <c r="H247" s="5"/>
      <c r="I247" s="5"/>
    </row>
    <row r="248" spans="1:9" x14ac:dyDescent="0.35">
      <c r="A248" s="4" t="s">
        <v>6</v>
      </c>
      <c r="B248" s="6">
        <v>1</v>
      </c>
      <c r="C248" s="5"/>
      <c r="D248" s="5"/>
      <c r="E248" s="5"/>
      <c r="F248" s="5"/>
      <c r="G248" s="5"/>
      <c r="H248" s="5"/>
      <c r="I248" s="5"/>
    </row>
    <row r="249" spans="1:9" x14ac:dyDescent="0.35">
      <c r="A249" s="4" t="s">
        <v>7</v>
      </c>
      <c r="B249" s="7" t="s">
        <v>8</v>
      </c>
      <c r="C249" s="5"/>
      <c r="D249" s="5"/>
      <c r="E249" s="5"/>
      <c r="F249" s="5"/>
      <c r="G249" s="5"/>
      <c r="H249" s="5"/>
      <c r="I249" s="5"/>
    </row>
    <row r="251" spans="1:9" x14ac:dyDescent="0.35">
      <c r="A251" s="3" t="s">
        <v>9</v>
      </c>
    </row>
    <row r="252" spans="1:9" x14ac:dyDescent="0.35">
      <c r="A252" s="3" t="s">
        <v>10</v>
      </c>
      <c r="B252" s="3" t="s">
        <v>11</v>
      </c>
      <c r="C252" s="3" t="s">
        <v>7</v>
      </c>
      <c r="D252" s="8" t="s">
        <v>12</v>
      </c>
      <c r="E252" s="3" t="s">
        <v>4</v>
      </c>
      <c r="F252" s="3" t="s">
        <v>13</v>
      </c>
      <c r="G252" s="3" t="s">
        <v>14</v>
      </c>
      <c r="H252" s="3" t="s">
        <v>15</v>
      </c>
      <c r="I252" t="s">
        <v>3</v>
      </c>
    </row>
    <row r="253" spans="1:9" x14ac:dyDescent="0.35">
      <c r="A253" t="s">
        <v>27</v>
      </c>
      <c r="B253" t="s">
        <v>16</v>
      </c>
      <c r="C253" t="s">
        <v>8</v>
      </c>
      <c r="D253" s="9">
        <v>1</v>
      </c>
      <c r="E253" t="s">
        <v>5</v>
      </c>
      <c r="F253" t="str">
        <f>$B$1</f>
        <v>OWM Facilities</v>
      </c>
      <c r="G253" t="s">
        <v>17</v>
      </c>
      <c r="H253" s="3"/>
      <c r="I253" t="s">
        <v>33</v>
      </c>
    </row>
    <row r="254" spans="1:9" x14ac:dyDescent="0.35">
      <c r="A254" s="9" t="s">
        <v>34</v>
      </c>
      <c r="B254" t="s">
        <v>35</v>
      </c>
      <c r="C254" t="s">
        <v>36</v>
      </c>
      <c r="D254">
        <v>1.6772116902968379</v>
      </c>
      <c r="E254" t="s">
        <v>5</v>
      </c>
      <c r="F254" s="20" t="s">
        <v>174</v>
      </c>
      <c r="G254" t="s">
        <v>19</v>
      </c>
      <c r="I254" t="s">
        <v>37</v>
      </c>
    </row>
    <row r="255" spans="1:9" x14ac:dyDescent="0.35">
      <c r="A255" t="s">
        <v>182</v>
      </c>
      <c r="B255" t="s">
        <v>183</v>
      </c>
      <c r="C255" t="s">
        <v>54</v>
      </c>
      <c r="D255" s="13">
        <v>2.5320055641349066</v>
      </c>
      <c r="E255" t="s">
        <v>50</v>
      </c>
      <c r="F255" s="20" t="s">
        <v>174</v>
      </c>
      <c r="G255" t="s">
        <v>19</v>
      </c>
      <c r="I255" t="s">
        <v>37</v>
      </c>
    </row>
    <row r="256" spans="1:9" x14ac:dyDescent="0.35">
      <c r="A256" t="s">
        <v>45</v>
      </c>
      <c r="B256" t="s">
        <v>46</v>
      </c>
      <c r="C256" t="s">
        <v>44</v>
      </c>
      <c r="D256" s="10">
        <f>Transportation!B5</f>
        <v>32</v>
      </c>
      <c r="E256" t="s">
        <v>47</v>
      </c>
      <c r="F256" s="20" t="s">
        <v>174</v>
      </c>
      <c r="G256" t="s">
        <v>19</v>
      </c>
      <c r="I256" t="s">
        <v>37</v>
      </c>
    </row>
    <row r="257" spans="1:9" x14ac:dyDescent="0.35">
      <c r="A257" t="s">
        <v>177</v>
      </c>
      <c r="B257" t="s">
        <v>56</v>
      </c>
      <c r="C257" t="s">
        <v>57</v>
      </c>
      <c r="D257">
        <v>-7.28915519494213</v>
      </c>
      <c r="E257" t="s">
        <v>5</v>
      </c>
      <c r="F257" s="20" t="s">
        <v>174</v>
      </c>
      <c r="G257" t="s">
        <v>19</v>
      </c>
      <c r="I257" t="s">
        <v>33</v>
      </c>
    </row>
    <row r="258" spans="1:9" x14ac:dyDescent="0.35">
      <c r="A258" t="s">
        <v>63</v>
      </c>
      <c r="C258" t="s">
        <v>54</v>
      </c>
      <c r="D258">
        <v>5.6135340059469772E-4</v>
      </c>
      <c r="F258" s="20" t="s">
        <v>175</v>
      </c>
      <c r="G258" t="s">
        <v>60</v>
      </c>
      <c r="H258" t="s">
        <v>61</v>
      </c>
      <c r="I258" t="s">
        <v>33</v>
      </c>
    </row>
    <row r="259" spans="1:9" x14ac:dyDescent="0.35">
      <c r="A259" t="s">
        <v>65</v>
      </c>
      <c r="C259" t="s">
        <v>54</v>
      </c>
      <c r="D259">
        <v>0.2245413602378791</v>
      </c>
      <c r="F259" s="20" t="s">
        <v>175</v>
      </c>
      <c r="G259" t="s">
        <v>60</v>
      </c>
      <c r="H259" t="s">
        <v>61</v>
      </c>
      <c r="I259" t="s">
        <v>33</v>
      </c>
    </row>
    <row r="260" spans="1:9" x14ac:dyDescent="0.35">
      <c r="A260" t="s">
        <v>67</v>
      </c>
      <c r="C260" t="s">
        <v>54</v>
      </c>
      <c r="D260" s="10">
        <v>1.6279248617246236</v>
      </c>
      <c r="F260" s="20" t="s">
        <v>175</v>
      </c>
      <c r="G260" t="s">
        <v>60</v>
      </c>
      <c r="H260" t="s">
        <v>61</v>
      </c>
      <c r="I260" t="s">
        <v>33</v>
      </c>
    </row>
    <row r="261" spans="1:9" x14ac:dyDescent="0.35">
      <c r="A261" t="s">
        <v>179</v>
      </c>
      <c r="C261" t="s">
        <v>54</v>
      </c>
      <c r="D261" s="11">
        <v>1.0852832411497491E-3</v>
      </c>
      <c r="F261" s="20" t="s">
        <v>175</v>
      </c>
      <c r="G261" t="s">
        <v>60</v>
      </c>
      <c r="H261" t="s">
        <v>61</v>
      </c>
      <c r="I261" t="s">
        <v>33</v>
      </c>
    </row>
    <row r="262" spans="1:9" x14ac:dyDescent="0.35">
      <c r="A262" t="s">
        <v>166</v>
      </c>
      <c r="B262" t="s">
        <v>132</v>
      </c>
      <c r="C262" t="s">
        <v>54</v>
      </c>
      <c r="D262">
        <v>0.29528799999999999</v>
      </c>
      <c r="E262" t="s">
        <v>135</v>
      </c>
      <c r="F262" s="20" t="s">
        <v>174</v>
      </c>
      <c r="G262" t="s">
        <v>68</v>
      </c>
    </row>
    <row r="263" spans="1:9" x14ac:dyDescent="0.35">
      <c r="A263" t="s">
        <v>167</v>
      </c>
      <c r="B263" t="s">
        <v>133</v>
      </c>
      <c r="C263" t="s">
        <v>54</v>
      </c>
      <c r="D263">
        <v>0.168736</v>
      </c>
      <c r="E263" t="s">
        <v>135</v>
      </c>
      <c r="F263" s="20" t="s">
        <v>174</v>
      </c>
      <c r="G263" t="s">
        <v>68</v>
      </c>
    </row>
    <row r="264" spans="1:9" x14ac:dyDescent="0.35">
      <c r="A264" t="s">
        <v>180</v>
      </c>
      <c r="B264" t="s">
        <v>134</v>
      </c>
      <c r="C264" t="s">
        <v>54</v>
      </c>
      <c r="D264">
        <v>0.253104</v>
      </c>
      <c r="E264" t="s">
        <v>135</v>
      </c>
      <c r="F264" s="20" t="s">
        <v>174</v>
      </c>
      <c r="G264" t="s">
        <v>68</v>
      </c>
    </row>
    <row r="266" spans="1:9" x14ac:dyDescent="0.35">
      <c r="A266" s="1" t="s">
        <v>2</v>
      </c>
      <c r="B266" t="s">
        <v>28</v>
      </c>
      <c r="C266" s="2"/>
      <c r="D266" s="2"/>
      <c r="E266" s="2"/>
      <c r="F266" s="2"/>
      <c r="G266" s="2"/>
      <c r="H266" s="2"/>
      <c r="I266" s="2"/>
    </row>
    <row r="267" spans="1:9" x14ac:dyDescent="0.35">
      <c r="A267" s="3" t="s">
        <v>3</v>
      </c>
      <c r="B267" t="s">
        <v>137</v>
      </c>
    </row>
    <row r="268" spans="1:9" x14ac:dyDescent="0.35">
      <c r="A268" s="4" t="s">
        <v>4</v>
      </c>
      <c r="B268" s="5" t="s">
        <v>5</v>
      </c>
      <c r="C268" s="5"/>
      <c r="D268" s="5"/>
      <c r="E268" s="5"/>
      <c r="F268" s="5"/>
      <c r="G268" s="5"/>
      <c r="H268" s="5"/>
      <c r="I268" s="5"/>
    </row>
    <row r="269" spans="1:9" x14ac:dyDescent="0.35">
      <c r="A269" s="4" t="s">
        <v>6</v>
      </c>
      <c r="B269" s="6">
        <v>1</v>
      </c>
      <c r="C269" s="5"/>
      <c r="D269" s="5"/>
      <c r="E269" s="5"/>
      <c r="F269" s="5"/>
      <c r="G269" s="5"/>
      <c r="H269" s="5"/>
      <c r="I269" s="5"/>
    </row>
    <row r="270" spans="1:9" x14ac:dyDescent="0.35">
      <c r="A270" s="4" t="s">
        <v>7</v>
      </c>
      <c r="B270" s="7" t="s">
        <v>8</v>
      </c>
      <c r="C270" s="5"/>
      <c r="D270" s="5"/>
      <c r="E270" s="5"/>
      <c r="F270" s="5"/>
      <c r="G270" s="5"/>
      <c r="H270" s="5"/>
      <c r="I270" s="5"/>
    </row>
    <row r="272" spans="1:9" x14ac:dyDescent="0.35">
      <c r="A272" s="3" t="s">
        <v>9</v>
      </c>
    </row>
    <row r="273" spans="1:9" x14ac:dyDescent="0.35">
      <c r="A273" s="3" t="s">
        <v>10</v>
      </c>
      <c r="B273" s="3" t="s">
        <v>11</v>
      </c>
      <c r="C273" s="3" t="s">
        <v>7</v>
      </c>
      <c r="D273" s="8" t="s">
        <v>12</v>
      </c>
      <c r="E273" s="3" t="s">
        <v>4</v>
      </c>
      <c r="F273" s="3" t="s">
        <v>13</v>
      </c>
      <c r="G273" s="3" t="s">
        <v>14</v>
      </c>
      <c r="H273" s="3" t="s">
        <v>15</v>
      </c>
      <c r="I273" t="s">
        <v>3</v>
      </c>
    </row>
    <row r="274" spans="1:9" x14ac:dyDescent="0.35">
      <c r="A274" t="str">
        <f>B266</f>
        <v>Composter_saint thomas</v>
      </c>
      <c r="B274" t="s">
        <v>16</v>
      </c>
      <c r="C274" t="s">
        <v>8</v>
      </c>
      <c r="D274" s="9">
        <v>1</v>
      </c>
      <c r="E274" t="s">
        <v>5</v>
      </c>
      <c r="F274" t="str">
        <f>$B$1</f>
        <v>OWM Facilities</v>
      </c>
      <c r="G274" t="s">
        <v>17</v>
      </c>
      <c r="H274" s="3"/>
      <c r="I274" t="s">
        <v>33</v>
      </c>
    </row>
    <row r="275" spans="1:9" x14ac:dyDescent="0.35">
      <c r="A275" s="9" t="s">
        <v>34</v>
      </c>
      <c r="B275" t="s">
        <v>35</v>
      </c>
      <c r="C275" t="s">
        <v>36</v>
      </c>
      <c r="D275">
        <v>1.6772116902968379</v>
      </c>
      <c r="E275" t="s">
        <v>5</v>
      </c>
      <c r="F275" s="20" t="s">
        <v>174</v>
      </c>
      <c r="G275" t="s">
        <v>19</v>
      </c>
      <c r="I275" t="s">
        <v>37</v>
      </c>
    </row>
    <row r="276" spans="1:9" x14ac:dyDescent="0.35">
      <c r="A276" t="s">
        <v>182</v>
      </c>
      <c r="B276" t="s">
        <v>183</v>
      </c>
      <c r="C276" t="s">
        <v>54</v>
      </c>
      <c r="D276" s="13">
        <v>2.5320055641349066</v>
      </c>
      <c r="E276" t="s">
        <v>50</v>
      </c>
      <c r="F276" s="20" t="s">
        <v>174</v>
      </c>
      <c r="G276" t="s">
        <v>19</v>
      </c>
      <c r="I276" t="s">
        <v>37</v>
      </c>
    </row>
    <row r="277" spans="1:9" x14ac:dyDescent="0.35">
      <c r="A277" t="s">
        <v>45</v>
      </c>
      <c r="B277" t="s">
        <v>46</v>
      </c>
      <c r="C277" t="s">
        <v>44</v>
      </c>
      <c r="D277" s="10">
        <f>Transportation!B6</f>
        <v>74</v>
      </c>
      <c r="E277" t="s">
        <v>47</v>
      </c>
      <c r="F277" s="20" t="s">
        <v>174</v>
      </c>
      <c r="G277" t="s">
        <v>19</v>
      </c>
      <c r="I277" t="s">
        <v>37</v>
      </c>
    </row>
    <row r="278" spans="1:9" x14ac:dyDescent="0.35">
      <c r="A278" t="s">
        <v>177</v>
      </c>
      <c r="B278" t="s">
        <v>56</v>
      </c>
      <c r="C278" t="s">
        <v>57</v>
      </c>
      <c r="D278">
        <v>-7.28915519494213</v>
      </c>
      <c r="E278" t="s">
        <v>5</v>
      </c>
      <c r="F278" s="20" t="s">
        <v>174</v>
      </c>
      <c r="G278" t="s">
        <v>19</v>
      </c>
      <c r="I278" t="s">
        <v>33</v>
      </c>
    </row>
    <row r="279" spans="1:9" x14ac:dyDescent="0.35">
      <c r="A279" t="s">
        <v>63</v>
      </c>
      <c r="C279" t="s">
        <v>54</v>
      </c>
      <c r="D279">
        <v>5.6135340059469772E-4</v>
      </c>
      <c r="F279" s="20" t="s">
        <v>175</v>
      </c>
      <c r="G279" t="s">
        <v>60</v>
      </c>
      <c r="H279" t="s">
        <v>61</v>
      </c>
      <c r="I279" t="s">
        <v>33</v>
      </c>
    </row>
    <row r="280" spans="1:9" x14ac:dyDescent="0.35">
      <c r="A280" t="s">
        <v>65</v>
      </c>
      <c r="C280" t="s">
        <v>54</v>
      </c>
      <c r="D280">
        <v>0.2245413602378791</v>
      </c>
      <c r="F280" s="20" t="s">
        <v>175</v>
      </c>
      <c r="G280" t="s">
        <v>60</v>
      </c>
      <c r="H280" t="s">
        <v>61</v>
      </c>
      <c r="I280" t="s">
        <v>33</v>
      </c>
    </row>
    <row r="281" spans="1:9" x14ac:dyDescent="0.35">
      <c r="A281" t="s">
        <v>67</v>
      </c>
      <c r="C281" t="s">
        <v>54</v>
      </c>
      <c r="D281" s="10">
        <v>1.6279248617246236</v>
      </c>
      <c r="F281" s="20" t="s">
        <v>175</v>
      </c>
      <c r="G281" t="s">
        <v>60</v>
      </c>
      <c r="H281" t="s">
        <v>61</v>
      </c>
      <c r="I281" t="s">
        <v>33</v>
      </c>
    </row>
    <row r="282" spans="1:9" x14ac:dyDescent="0.35">
      <c r="A282" t="s">
        <v>179</v>
      </c>
      <c r="C282" t="s">
        <v>54</v>
      </c>
      <c r="D282" s="11">
        <v>1.0852832411497491E-3</v>
      </c>
      <c r="F282" s="20" t="s">
        <v>175</v>
      </c>
      <c r="G282" t="s">
        <v>60</v>
      </c>
      <c r="H282" t="s">
        <v>61</v>
      </c>
      <c r="I282" t="s">
        <v>33</v>
      </c>
    </row>
    <row r="283" spans="1:9" x14ac:dyDescent="0.35">
      <c r="A283" t="s">
        <v>166</v>
      </c>
      <c r="B283" t="s">
        <v>132</v>
      </c>
      <c r="C283" t="s">
        <v>54</v>
      </c>
      <c r="D283">
        <v>0.29528799999999999</v>
      </c>
      <c r="E283" t="s">
        <v>135</v>
      </c>
      <c r="F283" s="20" t="s">
        <v>174</v>
      </c>
      <c r="G283" t="s">
        <v>68</v>
      </c>
    </row>
    <row r="284" spans="1:9" x14ac:dyDescent="0.35">
      <c r="A284" t="s">
        <v>167</v>
      </c>
      <c r="B284" t="s">
        <v>133</v>
      </c>
      <c r="C284" t="s">
        <v>54</v>
      </c>
      <c r="D284">
        <v>0.168736</v>
      </c>
      <c r="E284" t="s">
        <v>135</v>
      </c>
      <c r="F284" s="20" t="s">
        <v>174</v>
      </c>
      <c r="G284" t="s">
        <v>68</v>
      </c>
    </row>
    <row r="285" spans="1:9" x14ac:dyDescent="0.35">
      <c r="A285" t="s">
        <v>180</v>
      </c>
      <c r="B285" t="s">
        <v>134</v>
      </c>
      <c r="C285" t="s">
        <v>54</v>
      </c>
      <c r="D285">
        <v>0.253104</v>
      </c>
      <c r="E285" t="s">
        <v>135</v>
      </c>
      <c r="F285" s="20" t="s">
        <v>174</v>
      </c>
      <c r="G285" t="s">
        <v>68</v>
      </c>
    </row>
    <row r="286" spans="1:9" x14ac:dyDescent="0.35">
      <c r="D286" s="10"/>
    </row>
    <row r="287" spans="1:9" x14ac:dyDescent="0.35">
      <c r="D287" s="10"/>
    </row>
    <row r="288" spans="1:9" x14ac:dyDescent="0.35">
      <c r="D288" s="11"/>
    </row>
    <row r="291" spans="1:9" x14ac:dyDescent="0.35">
      <c r="A291" s="1" t="s">
        <v>2</v>
      </c>
      <c r="B291" s="2" t="s">
        <v>149</v>
      </c>
      <c r="C291" s="2"/>
      <c r="D291" s="2"/>
      <c r="E291" s="2"/>
      <c r="F291" s="2"/>
      <c r="G291" s="2"/>
      <c r="H291" s="2"/>
      <c r="I291" s="2"/>
    </row>
    <row r="292" spans="1:9" x14ac:dyDescent="0.35">
      <c r="A292" s="3" t="s">
        <v>3</v>
      </c>
      <c r="B292" t="s">
        <v>93</v>
      </c>
    </row>
    <row r="293" spans="1:9" x14ac:dyDescent="0.35">
      <c r="A293" s="4" t="s">
        <v>4</v>
      </c>
      <c r="B293" s="5" t="s">
        <v>5</v>
      </c>
      <c r="C293" s="5"/>
      <c r="D293" s="5"/>
      <c r="E293" s="5"/>
      <c r="F293" s="5"/>
      <c r="G293" s="5"/>
      <c r="H293" s="5"/>
      <c r="I293" s="5"/>
    </row>
    <row r="294" spans="1:9" x14ac:dyDescent="0.35">
      <c r="A294" s="4" t="s">
        <v>6</v>
      </c>
      <c r="B294" s="6">
        <v>1</v>
      </c>
      <c r="C294" s="5"/>
      <c r="D294" s="5"/>
      <c r="E294" s="5"/>
      <c r="F294" s="5"/>
      <c r="G294" s="5"/>
      <c r="H294" s="5"/>
      <c r="I294" s="5"/>
    </row>
    <row r="295" spans="1:9" x14ac:dyDescent="0.35">
      <c r="A295" s="4" t="s">
        <v>7</v>
      </c>
      <c r="B295" s="7" t="s">
        <v>8</v>
      </c>
      <c r="C295" s="5"/>
      <c r="D295" s="5"/>
      <c r="E295" s="5"/>
      <c r="F295" s="5"/>
      <c r="G295" s="5"/>
      <c r="H295" s="5"/>
      <c r="I295" s="5"/>
    </row>
    <row r="297" spans="1:9" x14ac:dyDescent="0.35">
      <c r="A297" s="3" t="s">
        <v>9</v>
      </c>
    </row>
    <row r="298" spans="1:9" x14ac:dyDescent="0.35">
      <c r="A298" s="3" t="s">
        <v>10</v>
      </c>
      <c r="B298" s="3" t="s">
        <v>11</v>
      </c>
      <c r="C298" s="3" t="s">
        <v>7</v>
      </c>
      <c r="D298" s="8" t="s">
        <v>12</v>
      </c>
      <c r="E298" s="3" t="s">
        <v>4</v>
      </c>
      <c r="F298" s="3" t="s">
        <v>13</v>
      </c>
      <c r="G298" s="3" t="s">
        <v>14</v>
      </c>
      <c r="H298" s="3" t="s">
        <v>15</v>
      </c>
      <c r="I298" t="s">
        <v>3</v>
      </c>
    </row>
    <row r="299" spans="1:9" x14ac:dyDescent="0.35">
      <c r="A299" t="str">
        <f>B291</f>
        <v>lewerenz_Open Composter</v>
      </c>
      <c r="B299" t="s">
        <v>16</v>
      </c>
      <c r="C299" t="s">
        <v>8</v>
      </c>
      <c r="D299" s="9">
        <v>1</v>
      </c>
      <c r="E299" t="str">
        <f>B293</f>
        <v>CA-QC</v>
      </c>
      <c r="F299" t="str">
        <f>$B$1</f>
        <v>OWM Facilities</v>
      </c>
      <c r="G299" t="s">
        <v>17</v>
      </c>
      <c r="H299" s="3"/>
      <c r="I299" t="s">
        <v>33</v>
      </c>
    </row>
    <row r="300" spans="1:9" x14ac:dyDescent="0.35">
      <c r="A300" s="9" t="s">
        <v>34</v>
      </c>
      <c r="B300" t="s">
        <v>35</v>
      </c>
      <c r="C300" t="s">
        <v>36</v>
      </c>
      <c r="D300" s="10">
        <f>0.0045*1000</f>
        <v>4.5</v>
      </c>
      <c r="E300" t="s">
        <v>32</v>
      </c>
      <c r="F300" s="20" t="s">
        <v>174</v>
      </c>
      <c r="G300" t="s">
        <v>19</v>
      </c>
      <c r="I300" t="s">
        <v>37</v>
      </c>
    </row>
    <row r="301" spans="1:9" x14ac:dyDescent="0.35">
      <c r="A301" t="s">
        <v>38</v>
      </c>
      <c r="B301" t="s">
        <v>39</v>
      </c>
      <c r="C301" t="s">
        <v>40</v>
      </c>
      <c r="D301" s="10">
        <f>0.000213066494623584*1000</f>
        <v>0.21306649462358399</v>
      </c>
      <c r="E301" t="s">
        <v>41</v>
      </c>
      <c r="F301" s="20" t="s">
        <v>174</v>
      </c>
      <c r="G301" t="s">
        <v>19</v>
      </c>
      <c r="I301" t="s">
        <v>37</v>
      </c>
    </row>
    <row r="302" spans="1:9" x14ac:dyDescent="0.35">
      <c r="A302" t="s">
        <v>42</v>
      </c>
      <c r="B302" t="s">
        <v>43</v>
      </c>
      <c r="C302" t="s">
        <v>44</v>
      </c>
      <c r="D302" s="10">
        <f>0.015*1000</f>
        <v>15</v>
      </c>
      <c r="E302" t="s">
        <v>41</v>
      </c>
      <c r="F302" s="20" t="s">
        <v>174</v>
      </c>
      <c r="G302" t="s">
        <v>19</v>
      </c>
      <c r="I302" t="s">
        <v>37</v>
      </c>
    </row>
    <row r="303" spans="1:9" x14ac:dyDescent="0.35">
      <c r="A303" t="s">
        <v>45</v>
      </c>
      <c r="B303" t="s">
        <v>46</v>
      </c>
      <c r="C303" t="s">
        <v>44</v>
      </c>
      <c r="D303" s="10">
        <f>0.017*1000</f>
        <v>17</v>
      </c>
      <c r="E303" t="s">
        <v>47</v>
      </c>
      <c r="F303" s="20" t="s">
        <v>174</v>
      </c>
      <c r="G303" t="s">
        <v>19</v>
      </c>
      <c r="I303" t="s">
        <v>37</v>
      </c>
    </row>
    <row r="304" spans="1:9" x14ac:dyDescent="0.35">
      <c r="A304" t="s">
        <v>48</v>
      </c>
      <c r="B304" t="s">
        <v>49</v>
      </c>
      <c r="C304" t="s">
        <v>7</v>
      </c>
      <c r="D304" s="10">
        <f>0.0000000040014*1000</f>
        <v>4.0013999999999995E-6</v>
      </c>
      <c r="E304" t="s">
        <v>50</v>
      </c>
      <c r="F304" s="20" t="s">
        <v>174</v>
      </c>
      <c r="G304" t="s">
        <v>19</v>
      </c>
      <c r="I304" t="s">
        <v>51</v>
      </c>
    </row>
    <row r="305" spans="1:9" x14ac:dyDescent="0.35">
      <c r="A305" t="s">
        <v>52</v>
      </c>
      <c r="B305" t="s">
        <v>53</v>
      </c>
      <c r="C305" t="s">
        <v>54</v>
      </c>
      <c r="D305" s="10">
        <f>0.0000185*1000</f>
        <v>1.8499999999999999E-2</v>
      </c>
      <c r="E305" t="s">
        <v>32</v>
      </c>
      <c r="F305" s="20" t="s">
        <v>174</v>
      </c>
      <c r="G305" t="s">
        <v>19</v>
      </c>
      <c r="I305" t="s">
        <v>33</v>
      </c>
    </row>
    <row r="306" spans="1:9" x14ac:dyDescent="0.35">
      <c r="A306" t="s">
        <v>55</v>
      </c>
      <c r="B306" t="s">
        <v>56</v>
      </c>
      <c r="C306" t="s">
        <v>57</v>
      </c>
      <c r="D306" s="10">
        <f>0.000225*1000</f>
        <v>0.22500000000000001</v>
      </c>
      <c r="E306" t="s">
        <v>58</v>
      </c>
      <c r="F306" s="20" t="s">
        <v>174</v>
      </c>
      <c r="G306" t="s">
        <v>19</v>
      </c>
      <c r="I306" t="s">
        <v>33</v>
      </c>
    </row>
    <row r="307" spans="1:9" x14ac:dyDescent="0.35">
      <c r="A307" t="s">
        <v>59</v>
      </c>
      <c r="C307" t="s">
        <v>57</v>
      </c>
      <c r="D307" s="10">
        <f>0.000125*1000</f>
        <v>0.125</v>
      </c>
      <c r="F307" s="20" t="s">
        <v>175</v>
      </c>
      <c r="G307" t="s">
        <v>60</v>
      </c>
      <c r="H307" t="s">
        <v>59</v>
      </c>
      <c r="I307" t="s">
        <v>62</v>
      </c>
    </row>
    <row r="308" spans="1:9" x14ac:dyDescent="0.35">
      <c r="A308" t="s">
        <v>63</v>
      </c>
      <c r="C308" t="s">
        <v>54</v>
      </c>
      <c r="D308" s="11">
        <f>1000*0.0007116</f>
        <v>0.7115999999999999</v>
      </c>
      <c r="F308" s="20" t="s">
        <v>175</v>
      </c>
      <c r="G308" t="s">
        <v>60</v>
      </c>
      <c r="H308" t="s">
        <v>61</v>
      </c>
      <c r="I308" t="s">
        <v>33</v>
      </c>
    </row>
    <row r="309" spans="1:9" x14ac:dyDescent="0.35">
      <c r="A309" t="s">
        <v>64</v>
      </c>
      <c r="C309" t="s">
        <v>54</v>
      </c>
      <c r="D309" s="10">
        <f>1000*0.09793</f>
        <v>97.93</v>
      </c>
      <c r="F309" s="20" t="s">
        <v>175</v>
      </c>
      <c r="G309" t="s">
        <v>60</v>
      </c>
      <c r="H309" t="s">
        <v>61</v>
      </c>
      <c r="I309" t="s">
        <v>33</v>
      </c>
    </row>
    <row r="310" spans="1:9" x14ac:dyDescent="0.35">
      <c r="A310" t="s">
        <v>65</v>
      </c>
      <c r="C310" t="s">
        <v>54</v>
      </c>
      <c r="D310" s="10">
        <f>1000*0.00015225</f>
        <v>0.15225</v>
      </c>
      <c r="F310" s="20" t="s">
        <v>175</v>
      </c>
      <c r="G310" t="s">
        <v>60</v>
      </c>
      <c r="H310" t="s">
        <v>61</v>
      </c>
      <c r="I310" t="s">
        <v>33</v>
      </c>
    </row>
    <row r="316" spans="1:9" x14ac:dyDescent="0.35">
      <c r="D316" s="10"/>
    </row>
    <row r="319" spans="1:9" x14ac:dyDescent="0.35">
      <c r="A319" s="1" t="s">
        <v>2</v>
      </c>
      <c r="B319" s="2" t="s">
        <v>162</v>
      </c>
      <c r="C319" s="2"/>
      <c r="D319" s="2"/>
      <c r="E319" s="2"/>
      <c r="F319" s="2"/>
      <c r="G319" s="2"/>
      <c r="H319" s="2"/>
      <c r="I319" s="2"/>
    </row>
    <row r="320" spans="1:9" ht="15.5" x14ac:dyDescent="0.35">
      <c r="A320" s="3" t="s">
        <v>3</v>
      </c>
      <c r="B320" s="22" t="s">
        <v>164</v>
      </c>
    </row>
    <row r="321" spans="1:9" x14ac:dyDescent="0.35">
      <c r="A321" s="4" t="s">
        <v>4</v>
      </c>
      <c r="B321" s="5" t="s">
        <v>163</v>
      </c>
      <c r="C321" s="5"/>
      <c r="D321" s="5"/>
      <c r="E321" s="5"/>
      <c r="F321" s="5"/>
      <c r="G321" s="5"/>
      <c r="H321" s="5"/>
      <c r="I321" s="5"/>
    </row>
    <row r="322" spans="1:9" x14ac:dyDescent="0.35">
      <c r="A322" s="4" t="s">
        <v>6</v>
      </c>
      <c r="B322" s="6">
        <v>1</v>
      </c>
      <c r="C322" s="5"/>
      <c r="D322" s="5"/>
      <c r="E322" s="5"/>
      <c r="F322" s="5"/>
      <c r="G322" s="5"/>
      <c r="H322" s="5"/>
      <c r="I322" s="5"/>
    </row>
    <row r="323" spans="1:9" x14ac:dyDescent="0.35">
      <c r="A323" s="4" t="s">
        <v>7</v>
      </c>
      <c r="B323" s="7" t="s">
        <v>8</v>
      </c>
      <c r="C323" s="5"/>
      <c r="D323" s="5"/>
      <c r="E323" s="5"/>
      <c r="F323" s="5"/>
      <c r="G323" s="5"/>
      <c r="H323" s="5"/>
      <c r="I323" s="5"/>
    </row>
    <row r="325" spans="1:9" x14ac:dyDescent="0.35">
      <c r="A325" s="3" t="s">
        <v>9</v>
      </c>
    </row>
    <row r="326" spans="1:9" x14ac:dyDescent="0.35">
      <c r="A326" s="3" t="s">
        <v>10</v>
      </c>
      <c r="B326" s="3" t="s">
        <v>11</v>
      </c>
      <c r="C326" s="3" t="s">
        <v>7</v>
      </c>
      <c r="D326" s="8" t="s">
        <v>12</v>
      </c>
      <c r="E326" s="3" t="s">
        <v>4</v>
      </c>
      <c r="F326" s="3" t="s">
        <v>13</v>
      </c>
      <c r="G326" s="3" t="s">
        <v>14</v>
      </c>
      <c r="H326" s="3" t="s">
        <v>15</v>
      </c>
      <c r="I326" t="s">
        <v>3</v>
      </c>
    </row>
    <row r="327" spans="1:9" x14ac:dyDescent="0.35">
      <c r="A327" t="str">
        <f>B319</f>
        <v>NS_compost</v>
      </c>
      <c r="B327" t="s">
        <v>16</v>
      </c>
      <c r="C327" t="s">
        <v>8</v>
      </c>
      <c r="D327">
        <v>1</v>
      </c>
      <c r="E327" t="str">
        <f>B321</f>
        <v>CA-NS</v>
      </c>
      <c r="F327" t="str">
        <f>B1</f>
        <v>OWM Facilities</v>
      </c>
      <c r="G327" t="s">
        <v>17</v>
      </c>
      <c r="I327" t="s">
        <v>33</v>
      </c>
    </row>
    <row r="328" spans="1:9" x14ac:dyDescent="0.35">
      <c r="A328" t="s">
        <v>34</v>
      </c>
      <c r="B328" t="s">
        <v>35</v>
      </c>
      <c r="C328" t="s">
        <v>36</v>
      </c>
      <c r="D328">
        <v>27.42983199561294</v>
      </c>
      <c r="E328" t="str">
        <f>E327</f>
        <v>CA-NS</v>
      </c>
      <c r="F328" s="20" t="s">
        <v>174</v>
      </c>
      <c r="G328" t="s">
        <v>19</v>
      </c>
      <c r="I328" t="s">
        <v>37</v>
      </c>
    </row>
    <row r="329" spans="1:9" x14ac:dyDescent="0.35">
      <c r="A329" t="s">
        <v>182</v>
      </c>
      <c r="B329" t="s">
        <v>183</v>
      </c>
      <c r="C329" t="s">
        <v>54</v>
      </c>
      <c r="D329">
        <v>3.34</v>
      </c>
      <c r="E329" t="s">
        <v>50</v>
      </c>
      <c r="F329" s="20" t="s">
        <v>174</v>
      </c>
      <c r="G329" t="s">
        <v>19</v>
      </c>
      <c r="I329" t="s">
        <v>37</v>
      </c>
    </row>
    <row r="330" spans="1:9" x14ac:dyDescent="0.35">
      <c r="A330" t="s">
        <v>65</v>
      </c>
      <c r="C330" t="s">
        <v>54</v>
      </c>
      <c r="D330">
        <v>8.9947155890124133</v>
      </c>
      <c r="F330" s="20" t="s">
        <v>175</v>
      </c>
      <c r="G330" t="s">
        <v>60</v>
      </c>
      <c r="H330" t="s">
        <v>61</v>
      </c>
      <c r="I330" t="s">
        <v>33</v>
      </c>
    </row>
    <row r="331" spans="1:9" x14ac:dyDescent="0.35">
      <c r="A331" t="s">
        <v>67</v>
      </c>
      <c r="C331" t="s">
        <v>54</v>
      </c>
      <c r="D331">
        <v>5.6084551000000003E-2</v>
      </c>
      <c r="F331" s="20" t="s">
        <v>175</v>
      </c>
      <c r="G331" t="s">
        <v>60</v>
      </c>
      <c r="H331" t="s">
        <v>61</v>
      </c>
      <c r="I331" t="s">
        <v>33</v>
      </c>
    </row>
    <row r="332" spans="1:9" x14ac:dyDescent="0.35">
      <c r="A332" t="s">
        <v>52</v>
      </c>
      <c r="B332" t="s">
        <v>53</v>
      </c>
      <c r="C332" t="s">
        <v>54</v>
      </c>
      <c r="D332">
        <v>9.1355501271249806E-2</v>
      </c>
      <c r="E332" s="14" t="s">
        <v>5</v>
      </c>
      <c r="F332" s="20" t="s">
        <v>174</v>
      </c>
      <c r="G332" t="s">
        <v>19</v>
      </c>
      <c r="I332" t="s">
        <v>33</v>
      </c>
    </row>
    <row r="333" spans="1:9" x14ac:dyDescent="0.35">
      <c r="A333" t="s">
        <v>64</v>
      </c>
      <c r="C333" t="s">
        <v>54</v>
      </c>
      <c r="D333" s="10">
        <v>34.182910409999998</v>
      </c>
      <c r="F333" s="20" t="s">
        <v>175</v>
      </c>
      <c r="G333" t="s">
        <v>60</v>
      </c>
      <c r="H333" t="s">
        <v>61</v>
      </c>
      <c r="I333" t="s">
        <v>33</v>
      </c>
    </row>
    <row r="334" spans="1:9" x14ac:dyDescent="0.35">
      <c r="A334" t="s">
        <v>166</v>
      </c>
      <c r="B334" t="s">
        <v>132</v>
      </c>
      <c r="C334" t="s">
        <v>54</v>
      </c>
      <c r="D334">
        <v>1.7807999999999999</v>
      </c>
      <c r="E334" t="s">
        <v>135</v>
      </c>
      <c r="F334" s="20" t="s">
        <v>174</v>
      </c>
      <c r="G334" t="s">
        <v>68</v>
      </c>
    </row>
    <row r="335" spans="1:9" x14ac:dyDescent="0.35">
      <c r="A335" t="s">
        <v>167</v>
      </c>
      <c r="B335" t="s">
        <v>133</v>
      </c>
      <c r="C335" t="s">
        <v>54</v>
      </c>
      <c r="D335">
        <v>1.0176000000000001</v>
      </c>
      <c r="E335" t="s">
        <v>135</v>
      </c>
      <c r="F335" s="20" t="s">
        <v>174</v>
      </c>
      <c r="G335" t="s">
        <v>68</v>
      </c>
    </row>
    <row r="336" spans="1:9" x14ac:dyDescent="0.35">
      <c r="A336" t="s">
        <v>180</v>
      </c>
      <c r="B336" t="s">
        <v>134</v>
      </c>
      <c r="C336" t="s">
        <v>54</v>
      </c>
      <c r="D336">
        <v>1.5264</v>
      </c>
      <c r="E336" t="s">
        <v>135</v>
      </c>
      <c r="F336" s="20" t="s">
        <v>174</v>
      </c>
      <c r="G336" t="s">
        <v>68</v>
      </c>
    </row>
    <row r="338" spans="1:9" x14ac:dyDescent="0.35">
      <c r="A338" s="1" t="s">
        <v>2</v>
      </c>
      <c r="B338" s="2" t="s">
        <v>161</v>
      </c>
      <c r="C338" s="2"/>
      <c r="D338" s="2"/>
      <c r="E338" s="2"/>
      <c r="F338" s="2"/>
      <c r="G338" s="2"/>
      <c r="H338" s="2"/>
      <c r="I338" s="2"/>
    </row>
    <row r="339" spans="1:9" ht="20" thickBot="1" x14ac:dyDescent="0.5">
      <c r="A339" s="3" t="s">
        <v>3</v>
      </c>
      <c r="B339" s="24" t="s">
        <v>181</v>
      </c>
    </row>
    <row r="340" spans="1:9" ht="15" thickTop="1" x14ac:dyDescent="0.35">
      <c r="A340" s="4" t="s">
        <v>4</v>
      </c>
      <c r="B340" s="5" t="s">
        <v>163</v>
      </c>
      <c r="C340" s="5"/>
      <c r="D340" s="5"/>
      <c r="E340" s="5"/>
      <c r="F340" s="5"/>
      <c r="G340" s="5"/>
      <c r="H340" s="5"/>
      <c r="I340" s="5"/>
    </row>
    <row r="341" spans="1:9" x14ac:dyDescent="0.35">
      <c r="A341" s="4" t="s">
        <v>6</v>
      </c>
      <c r="B341" s="6">
        <v>1</v>
      </c>
      <c r="C341" s="5"/>
      <c r="D341" s="5"/>
      <c r="E341" s="5"/>
      <c r="F341" s="5"/>
      <c r="G341" s="5"/>
      <c r="H341" s="5"/>
      <c r="I341" s="5"/>
    </row>
    <row r="342" spans="1:9" x14ac:dyDescent="0.35">
      <c r="A342" s="4" t="s">
        <v>7</v>
      </c>
      <c r="B342" s="7" t="s">
        <v>8</v>
      </c>
      <c r="C342" s="5"/>
      <c r="D342" s="5"/>
      <c r="E342" s="5"/>
      <c r="F342" s="5"/>
      <c r="G342" s="5"/>
      <c r="H342" s="5"/>
      <c r="I342" s="5"/>
    </row>
    <row r="344" spans="1:9" x14ac:dyDescent="0.35">
      <c r="A344" s="3" t="s">
        <v>9</v>
      </c>
    </row>
    <row r="345" spans="1:9" x14ac:dyDescent="0.35">
      <c r="A345" s="3" t="s">
        <v>10</v>
      </c>
      <c r="B345" s="3" t="s">
        <v>11</v>
      </c>
      <c r="C345" s="3" t="s">
        <v>7</v>
      </c>
      <c r="D345" s="8" t="s">
        <v>12</v>
      </c>
      <c r="E345" s="3" t="s">
        <v>4</v>
      </c>
      <c r="F345" s="3" t="s">
        <v>13</v>
      </c>
      <c r="G345" s="3" t="s">
        <v>14</v>
      </c>
      <c r="H345" s="3" t="s">
        <v>15</v>
      </c>
      <c r="I345" t="s">
        <v>3</v>
      </c>
    </row>
    <row r="346" spans="1:9" x14ac:dyDescent="0.35">
      <c r="A346" t="str">
        <f>B338</f>
        <v>NS_AD</v>
      </c>
      <c r="B346" t="s">
        <v>16</v>
      </c>
      <c r="C346" t="s">
        <v>8</v>
      </c>
      <c r="D346">
        <v>1</v>
      </c>
      <c r="E346" t="str">
        <f>B340</f>
        <v>CA-NS</v>
      </c>
      <c r="F346" t="s">
        <v>1</v>
      </c>
      <c r="G346" t="s">
        <v>17</v>
      </c>
      <c r="I346" t="s">
        <v>33</v>
      </c>
    </row>
    <row r="347" spans="1:9" x14ac:dyDescent="0.35">
      <c r="A347" t="s">
        <v>34</v>
      </c>
      <c r="B347" t="s">
        <v>35</v>
      </c>
      <c r="C347" t="s">
        <v>36</v>
      </c>
      <c r="D347" s="10">
        <v>19.624800000000015</v>
      </c>
      <c r="E347" t="s">
        <v>5</v>
      </c>
      <c r="F347" s="20" t="s">
        <v>174</v>
      </c>
      <c r="G347" t="s">
        <v>19</v>
      </c>
      <c r="I347" t="s">
        <v>37</v>
      </c>
    </row>
    <row r="348" spans="1:9" x14ac:dyDescent="0.35">
      <c r="A348" s="9" t="s">
        <v>34</v>
      </c>
      <c r="B348" t="s">
        <v>35</v>
      </c>
      <c r="C348" t="s">
        <v>36</v>
      </c>
      <c r="D348">
        <v>2.5000000000000001E-2</v>
      </c>
      <c r="E348" t="s">
        <v>5</v>
      </c>
      <c r="F348" s="20" t="s">
        <v>174</v>
      </c>
      <c r="G348" t="s">
        <v>68</v>
      </c>
      <c r="I348" t="s">
        <v>33</v>
      </c>
    </row>
    <row r="349" spans="1:9" x14ac:dyDescent="0.35">
      <c r="A349" t="s">
        <v>64</v>
      </c>
      <c r="C349" t="s">
        <v>54</v>
      </c>
      <c r="D349" s="23">
        <v>3.9980000000000002</v>
      </c>
      <c r="F349" s="20" t="s">
        <v>175</v>
      </c>
      <c r="G349" t="s">
        <v>60</v>
      </c>
      <c r="H349" t="s">
        <v>61</v>
      </c>
      <c r="I349" t="s">
        <v>33</v>
      </c>
    </row>
    <row r="350" spans="1:9" x14ac:dyDescent="0.35">
      <c r="A350" t="s">
        <v>65</v>
      </c>
      <c r="C350" t="s">
        <v>54</v>
      </c>
      <c r="D350" s="11">
        <v>2.75E-2</v>
      </c>
      <c r="F350" s="20" t="s">
        <v>175</v>
      </c>
      <c r="G350" t="s">
        <v>60</v>
      </c>
      <c r="H350" t="s">
        <v>61</v>
      </c>
      <c r="I350" t="s">
        <v>33</v>
      </c>
    </row>
    <row r="351" spans="1:9" x14ac:dyDescent="0.35">
      <c r="A351" t="s">
        <v>67</v>
      </c>
      <c r="C351" t="s">
        <v>54</v>
      </c>
      <c r="D351" s="11">
        <v>13.210197464999998</v>
      </c>
      <c r="F351" s="20" t="s">
        <v>175</v>
      </c>
      <c r="G351" t="s">
        <v>60</v>
      </c>
      <c r="H351" t="s">
        <v>61</v>
      </c>
      <c r="I351" t="s">
        <v>33</v>
      </c>
    </row>
    <row r="352" spans="1:9" x14ac:dyDescent="0.35">
      <c r="A352" t="s">
        <v>80</v>
      </c>
      <c r="B352" t="s">
        <v>81</v>
      </c>
      <c r="C352" t="s">
        <v>54</v>
      </c>
      <c r="D352">
        <v>0</v>
      </c>
      <c r="E352" t="s">
        <v>41</v>
      </c>
      <c r="F352" s="20" t="s">
        <v>174</v>
      </c>
      <c r="G352" t="s">
        <v>68</v>
      </c>
      <c r="I352" t="s">
        <v>165</v>
      </c>
    </row>
    <row r="355" spans="1:9" x14ac:dyDescent="0.35">
      <c r="A355" s="1" t="s">
        <v>2</v>
      </c>
      <c r="B355" s="2" t="s">
        <v>220</v>
      </c>
      <c r="C355" s="2"/>
      <c r="D355" s="2"/>
      <c r="E355" s="2"/>
      <c r="F355" s="2"/>
      <c r="G355" s="2"/>
      <c r="H355" s="2"/>
      <c r="I355" s="2"/>
    </row>
    <row r="356" spans="1:9" x14ac:dyDescent="0.35">
      <c r="A356" s="3" t="s">
        <v>3</v>
      </c>
      <c r="B356" t="s">
        <v>69</v>
      </c>
    </row>
    <row r="357" spans="1:9" x14ac:dyDescent="0.35">
      <c r="A357" s="4" t="s">
        <v>4</v>
      </c>
      <c r="B357" s="5" t="s">
        <v>5</v>
      </c>
      <c r="C357" s="5"/>
      <c r="D357" s="5"/>
      <c r="E357" s="5"/>
      <c r="F357" s="5"/>
      <c r="G357" s="5"/>
      <c r="H357" s="5"/>
      <c r="I357" s="5"/>
    </row>
    <row r="358" spans="1:9" x14ac:dyDescent="0.35">
      <c r="A358" s="4" t="s">
        <v>6</v>
      </c>
      <c r="B358" s="6">
        <v>1</v>
      </c>
      <c r="C358" s="5"/>
      <c r="D358" s="5"/>
      <c r="E358" s="5"/>
      <c r="F358" s="5"/>
      <c r="G358" s="5"/>
      <c r="H358" s="5"/>
      <c r="I358" s="5"/>
    </row>
    <row r="359" spans="1:9" x14ac:dyDescent="0.35">
      <c r="A359" s="4" t="s">
        <v>7</v>
      </c>
      <c r="B359" s="5" t="s">
        <v>8</v>
      </c>
      <c r="C359" s="5"/>
      <c r="D359" s="5"/>
      <c r="E359" s="5"/>
      <c r="F359" s="5"/>
      <c r="G359" s="5"/>
      <c r="H359" s="5"/>
      <c r="I359" s="5"/>
    </row>
    <row r="361" spans="1:9" x14ac:dyDescent="0.35">
      <c r="A361" s="3" t="s">
        <v>9</v>
      </c>
    </row>
    <row r="362" spans="1:9" x14ac:dyDescent="0.35">
      <c r="A362" s="3" t="s">
        <v>10</v>
      </c>
      <c r="B362" s="3" t="s">
        <v>11</v>
      </c>
      <c r="C362" s="3" t="s">
        <v>7</v>
      </c>
      <c r="D362" s="8" t="s">
        <v>12</v>
      </c>
      <c r="E362" s="3" t="s">
        <v>4</v>
      </c>
      <c r="F362" s="3" t="s">
        <v>13</v>
      </c>
      <c r="G362" s="3" t="s">
        <v>14</v>
      </c>
      <c r="H362" s="3" t="s">
        <v>15</v>
      </c>
      <c r="I362" t="s">
        <v>3</v>
      </c>
    </row>
    <row r="363" spans="1:9" x14ac:dyDescent="0.35">
      <c r="A363" t="str">
        <f>B355</f>
        <v>AD_nutrient_sheet</v>
      </c>
      <c r="B363" t="s">
        <v>16</v>
      </c>
      <c r="C363" t="s">
        <v>8</v>
      </c>
      <c r="D363" s="12">
        <v>1</v>
      </c>
      <c r="E363" t="str">
        <f>B357</f>
        <v>CA-QC</v>
      </c>
      <c r="F363" t="str">
        <f>$B$1</f>
        <v>OWM Facilities</v>
      </c>
      <c r="G363" t="s">
        <v>17</v>
      </c>
    </row>
    <row r="364" spans="1:9" x14ac:dyDescent="0.35">
      <c r="A364" t="s">
        <v>34</v>
      </c>
      <c r="B364" t="s">
        <v>35</v>
      </c>
      <c r="C364" t="s">
        <v>36</v>
      </c>
      <c r="D364" s="10">
        <f>1000*0.002135</f>
        <v>2.1350000000000002</v>
      </c>
      <c r="E364" t="str">
        <f>E363</f>
        <v>CA-QC</v>
      </c>
      <c r="F364" s="20" t="s">
        <v>174</v>
      </c>
      <c r="G364" t="s">
        <v>19</v>
      </c>
    </row>
    <row r="365" spans="1:9" x14ac:dyDescent="0.35">
      <c r="A365" t="s">
        <v>71</v>
      </c>
      <c r="B365" t="s">
        <v>72</v>
      </c>
      <c r="C365" t="s">
        <v>73</v>
      </c>
      <c r="D365" s="10">
        <f>1000*0.2416</f>
        <v>241.60000000000002</v>
      </c>
      <c r="E365" t="s">
        <v>50</v>
      </c>
      <c r="F365" s="20" t="s">
        <v>174</v>
      </c>
      <c r="G365" t="s">
        <v>19</v>
      </c>
    </row>
    <row r="366" spans="1:9" x14ac:dyDescent="0.35">
      <c r="A366" t="s">
        <v>38</v>
      </c>
      <c r="B366" t="s">
        <v>39</v>
      </c>
      <c r="C366" t="s">
        <v>40</v>
      </c>
      <c r="D366" s="10">
        <f>1000*0.000352112676056338</f>
        <v>0.352112676056338</v>
      </c>
      <c r="E366" t="s">
        <v>41</v>
      </c>
      <c r="F366" s="20" t="s">
        <v>174</v>
      </c>
      <c r="G366" t="s">
        <v>19</v>
      </c>
    </row>
    <row r="367" spans="1:9" x14ac:dyDescent="0.35">
      <c r="A367" t="s">
        <v>74</v>
      </c>
      <c r="B367" t="s">
        <v>75</v>
      </c>
      <c r="C367" t="s">
        <v>54</v>
      </c>
      <c r="D367" s="10">
        <f>1000*0.225</f>
        <v>225</v>
      </c>
      <c r="E367" t="s">
        <v>70</v>
      </c>
      <c r="F367" s="20" t="s">
        <v>174</v>
      </c>
      <c r="G367" t="s">
        <v>19</v>
      </c>
    </row>
    <row r="368" spans="1:9" x14ac:dyDescent="0.35">
      <c r="A368" t="s">
        <v>45</v>
      </c>
      <c r="B368" t="s">
        <v>46</v>
      </c>
      <c r="C368" t="s">
        <v>44</v>
      </c>
      <c r="D368" s="10">
        <f>Transportation!B311</f>
        <v>0</v>
      </c>
      <c r="E368" t="s">
        <v>47</v>
      </c>
      <c r="F368" s="20" t="s">
        <v>174</v>
      </c>
      <c r="G368" t="s">
        <v>19</v>
      </c>
    </row>
    <row r="369" spans="1:9" x14ac:dyDescent="0.35">
      <c r="A369" t="s">
        <v>63</v>
      </c>
      <c r="C369" t="s">
        <v>54</v>
      </c>
      <c r="D369" s="11">
        <f>1000*0.0001456</f>
        <v>0.14559999999999998</v>
      </c>
      <c r="F369" s="20" t="s">
        <v>175</v>
      </c>
      <c r="G369" t="s">
        <v>60</v>
      </c>
      <c r="H369" t="s">
        <v>61</v>
      </c>
    </row>
    <row r="370" spans="1:9" x14ac:dyDescent="0.35">
      <c r="A370" t="s">
        <v>64</v>
      </c>
      <c r="C370" t="s">
        <v>54</v>
      </c>
      <c r="D370" s="11">
        <f>1000*0.0916</f>
        <v>91.6</v>
      </c>
      <c r="F370" s="20" t="s">
        <v>175</v>
      </c>
      <c r="G370" t="s">
        <v>60</v>
      </c>
      <c r="H370" t="s">
        <v>61</v>
      </c>
    </row>
    <row r="371" spans="1:9" x14ac:dyDescent="0.35">
      <c r="A371" t="s">
        <v>65</v>
      </c>
      <c r="C371" t="s">
        <v>54</v>
      </c>
      <c r="D371" s="11">
        <f>1000*0.00008</f>
        <v>0.08</v>
      </c>
      <c r="F371" s="20" t="s">
        <v>175</v>
      </c>
      <c r="G371" t="s">
        <v>60</v>
      </c>
      <c r="H371" t="s">
        <v>61</v>
      </c>
    </row>
    <row r="372" spans="1:9" x14ac:dyDescent="0.35">
      <c r="A372" t="s">
        <v>66</v>
      </c>
      <c r="C372" t="s">
        <v>54</v>
      </c>
      <c r="D372" s="11">
        <f>1000*0.0000896</f>
        <v>8.9599999999999999E-2</v>
      </c>
      <c r="F372" s="20" t="s">
        <v>175</v>
      </c>
      <c r="G372" t="s">
        <v>60</v>
      </c>
      <c r="H372" t="s">
        <v>61</v>
      </c>
    </row>
    <row r="373" spans="1:9" x14ac:dyDescent="0.35">
      <c r="A373" t="s">
        <v>67</v>
      </c>
      <c r="C373" t="s">
        <v>54</v>
      </c>
      <c r="D373" s="11">
        <f>1000*0.00274</f>
        <v>2.7399999999999998</v>
      </c>
      <c r="F373" s="20" t="s">
        <v>175</v>
      </c>
      <c r="G373" t="s">
        <v>60</v>
      </c>
      <c r="H373" t="s">
        <v>61</v>
      </c>
    </row>
    <row r="374" spans="1:9" x14ac:dyDescent="0.35">
      <c r="A374" t="s">
        <v>179</v>
      </c>
      <c r="C374" t="s">
        <v>54</v>
      </c>
      <c r="D374" s="10">
        <f>1000*0.000426</f>
        <v>0.42599999999999999</v>
      </c>
      <c r="F374" s="20" t="s">
        <v>175</v>
      </c>
      <c r="G374" t="s">
        <v>60</v>
      </c>
      <c r="H374" t="s">
        <v>61</v>
      </c>
    </row>
    <row r="375" spans="1:9" x14ac:dyDescent="0.35">
      <c r="A375" t="s">
        <v>76</v>
      </c>
      <c r="C375" t="s">
        <v>54</v>
      </c>
      <c r="D375" s="10">
        <f>1000*0.00000297</f>
        <v>2.97E-3</v>
      </c>
      <c r="F375" s="20" t="s">
        <v>175</v>
      </c>
      <c r="G375" t="s">
        <v>60</v>
      </c>
      <c r="H375" t="s">
        <v>61</v>
      </c>
    </row>
    <row r="376" spans="1:9" x14ac:dyDescent="0.35">
      <c r="A376" t="s">
        <v>77</v>
      </c>
      <c r="C376" t="s">
        <v>54</v>
      </c>
      <c r="D376" s="10">
        <f>1000*0.0000000928</f>
        <v>9.2799999999999992E-5</v>
      </c>
      <c r="F376" s="20" t="s">
        <v>175</v>
      </c>
      <c r="G376" t="s">
        <v>60</v>
      </c>
      <c r="H376" t="s">
        <v>59</v>
      </c>
    </row>
    <row r="377" spans="1:9" x14ac:dyDescent="0.35">
      <c r="A377" t="s">
        <v>78</v>
      </c>
      <c r="C377" t="s">
        <v>54</v>
      </c>
      <c r="D377" s="10">
        <f>1000*0.000000109</f>
        <v>1.0899999999999999E-4</v>
      </c>
      <c r="F377" s="20" t="s">
        <v>175</v>
      </c>
      <c r="G377" t="s">
        <v>60</v>
      </c>
      <c r="H377" t="s">
        <v>59</v>
      </c>
    </row>
    <row r="378" spans="1:9" x14ac:dyDescent="0.35">
      <c r="A378" t="s">
        <v>79</v>
      </c>
      <c r="C378" t="s">
        <v>54</v>
      </c>
      <c r="D378" s="10">
        <f>1000*0.0000000704</f>
        <v>7.039999999999999E-5</v>
      </c>
      <c r="F378" s="20" t="s">
        <v>175</v>
      </c>
      <c r="G378" t="s">
        <v>60</v>
      </c>
      <c r="H378" t="s">
        <v>61</v>
      </c>
    </row>
    <row r="379" spans="1:9" x14ac:dyDescent="0.35">
      <c r="A379" t="s">
        <v>177</v>
      </c>
      <c r="B379" t="s">
        <v>56</v>
      </c>
      <c r="C379" t="s">
        <v>57</v>
      </c>
      <c r="D379">
        <v>-0.22500000000000001</v>
      </c>
      <c r="E379" t="s">
        <v>5</v>
      </c>
      <c r="F379" s="20" t="s">
        <v>174</v>
      </c>
      <c r="G379" t="s">
        <v>19</v>
      </c>
      <c r="I379" t="s">
        <v>33</v>
      </c>
    </row>
    <row r="380" spans="1:9" x14ac:dyDescent="0.35">
      <c r="A380" t="s">
        <v>171</v>
      </c>
      <c r="B380" t="s">
        <v>170</v>
      </c>
      <c r="C380" t="s">
        <v>57</v>
      </c>
      <c r="D380">
        <f>'Natural gas credit'!B12</f>
        <v>20.905141753653442</v>
      </c>
      <c r="E380" t="s">
        <v>178</v>
      </c>
      <c r="F380" s="20" t="s">
        <v>174</v>
      </c>
      <c r="G380" t="s">
        <v>68</v>
      </c>
    </row>
    <row r="381" spans="1:9" x14ac:dyDescent="0.35">
      <c r="A381" t="s">
        <v>166</v>
      </c>
      <c r="B381" t="s">
        <v>132</v>
      </c>
      <c r="C381" t="s">
        <v>54</v>
      </c>
      <c r="D381">
        <v>8.3637999999999977</v>
      </c>
      <c r="E381" t="s">
        <v>135</v>
      </c>
      <c r="F381" s="20" t="s">
        <v>174</v>
      </c>
      <c r="G381" t="s">
        <v>68</v>
      </c>
      <c r="I381" t="s">
        <v>202</v>
      </c>
    </row>
    <row r="382" spans="1:9" x14ac:dyDescent="0.35">
      <c r="A382" t="s">
        <v>167</v>
      </c>
      <c r="B382" t="s">
        <v>133</v>
      </c>
      <c r="C382" t="s">
        <v>54</v>
      </c>
      <c r="D382">
        <v>8.8349999999999973</v>
      </c>
      <c r="E382" t="s">
        <v>135</v>
      </c>
      <c r="F382" s="20" t="s">
        <v>174</v>
      </c>
      <c r="G382" t="s">
        <v>68</v>
      </c>
    </row>
    <row r="383" spans="1:9" x14ac:dyDescent="0.35">
      <c r="A383" t="s">
        <v>180</v>
      </c>
      <c r="B383" t="s">
        <v>134</v>
      </c>
      <c r="C383" t="s">
        <v>54</v>
      </c>
      <c r="D383">
        <v>0.76569999999999983</v>
      </c>
      <c r="E383" t="s">
        <v>135</v>
      </c>
      <c r="F383" s="20" t="s">
        <v>174</v>
      </c>
      <c r="G383" t="s">
        <v>68</v>
      </c>
    </row>
    <row r="386" spans="1:9" x14ac:dyDescent="0.35">
      <c r="A386" t="s">
        <v>2</v>
      </c>
      <c r="B386" t="s">
        <v>223</v>
      </c>
    </row>
    <row r="387" spans="1:9" x14ac:dyDescent="0.35">
      <c r="A387" t="s">
        <v>3</v>
      </c>
      <c r="B387" t="s">
        <v>226</v>
      </c>
    </row>
    <row r="388" spans="1:9" x14ac:dyDescent="0.35">
      <c r="A388" t="s">
        <v>4</v>
      </c>
      <c r="B388" t="s">
        <v>5</v>
      </c>
    </row>
    <row r="389" spans="1:9" x14ac:dyDescent="0.35">
      <c r="A389" t="s">
        <v>6</v>
      </c>
      <c r="B389">
        <v>1</v>
      </c>
    </row>
    <row r="390" spans="1:9" x14ac:dyDescent="0.35">
      <c r="A390" t="s">
        <v>7</v>
      </c>
      <c r="B390" t="s">
        <v>8</v>
      </c>
    </row>
    <row r="392" spans="1:9" x14ac:dyDescent="0.35">
      <c r="A392" t="s">
        <v>9</v>
      </c>
    </row>
    <row r="393" spans="1:9" x14ac:dyDescent="0.35">
      <c r="A393" t="s">
        <v>10</v>
      </c>
      <c r="B393" t="s">
        <v>11</v>
      </c>
      <c r="C393" t="s">
        <v>7</v>
      </c>
      <c r="D393" t="s">
        <v>12</v>
      </c>
      <c r="E393" t="s">
        <v>4</v>
      </c>
      <c r="F393" t="s">
        <v>13</v>
      </c>
      <c r="G393" t="s">
        <v>14</v>
      </c>
      <c r="H393" t="s">
        <v>15</v>
      </c>
      <c r="I393" t="s">
        <v>3</v>
      </c>
    </row>
    <row r="394" spans="1:9" x14ac:dyDescent="0.35">
      <c r="A394" t="str">
        <f>B386</f>
        <v>Closed-tunnel Composter (city)</v>
      </c>
      <c r="B394" t="s">
        <v>16</v>
      </c>
      <c r="C394" t="s">
        <v>8</v>
      </c>
      <c r="D394">
        <v>1</v>
      </c>
      <c r="E394" t="s">
        <v>5</v>
      </c>
      <c r="F394" t="s">
        <v>176</v>
      </c>
      <c r="G394" t="s">
        <v>17</v>
      </c>
      <c r="I394" t="s">
        <v>33</v>
      </c>
    </row>
    <row r="395" spans="1:9" x14ac:dyDescent="0.35">
      <c r="A395" t="s">
        <v>34</v>
      </c>
      <c r="B395" t="s">
        <v>35</v>
      </c>
      <c r="C395" t="s">
        <v>36</v>
      </c>
      <c r="D395">
        <v>33</v>
      </c>
      <c r="E395" t="s">
        <v>5</v>
      </c>
      <c r="F395" t="s">
        <v>174</v>
      </c>
      <c r="G395" t="s">
        <v>19</v>
      </c>
      <c r="I395" t="s">
        <v>37</v>
      </c>
    </row>
    <row r="396" spans="1:9" x14ac:dyDescent="0.35">
      <c r="A396" t="s">
        <v>38</v>
      </c>
      <c r="B396" t="s">
        <v>39</v>
      </c>
      <c r="C396" t="s">
        <v>40</v>
      </c>
      <c r="D396">
        <v>0.25301646236550601</v>
      </c>
      <c r="E396" t="s">
        <v>41</v>
      </c>
      <c r="F396" t="s">
        <v>174</v>
      </c>
      <c r="G396" t="s">
        <v>19</v>
      </c>
      <c r="I396" t="s">
        <v>37</v>
      </c>
    </row>
    <row r="397" spans="1:9" x14ac:dyDescent="0.35">
      <c r="A397" t="s">
        <v>45</v>
      </c>
      <c r="B397" t="s">
        <v>46</v>
      </c>
      <c r="C397" t="s">
        <v>44</v>
      </c>
      <c r="D397">
        <v>28.4</v>
      </c>
      <c r="E397" t="s">
        <v>47</v>
      </c>
      <c r="F397" t="s">
        <v>174</v>
      </c>
      <c r="G397" t="s">
        <v>19</v>
      </c>
      <c r="I397" t="s">
        <v>37</v>
      </c>
    </row>
    <row r="398" spans="1:9" x14ac:dyDescent="0.35">
      <c r="A398" t="s">
        <v>52</v>
      </c>
      <c r="B398" t="s">
        <v>53</v>
      </c>
      <c r="C398" t="s">
        <v>54</v>
      </c>
      <c r="D398">
        <v>1.8499999999999999E-2</v>
      </c>
      <c r="E398" t="s">
        <v>5</v>
      </c>
      <c r="F398" t="s">
        <v>174</v>
      </c>
      <c r="G398" t="s">
        <v>19</v>
      </c>
      <c r="I398" t="s">
        <v>33</v>
      </c>
    </row>
    <row r="399" spans="1:9" x14ac:dyDescent="0.35">
      <c r="A399" t="s">
        <v>177</v>
      </c>
      <c r="B399" t="s">
        <v>56</v>
      </c>
      <c r="C399" t="s">
        <v>57</v>
      </c>
      <c r="D399">
        <v>-0.22500000000000001</v>
      </c>
      <c r="E399" t="s">
        <v>5</v>
      </c>
      <c r="F399" t="s">
        <v>174</v>
      </c>
      <c r="G399" t="s">
        <v>19</v>
      </c>
      <c r="I399" t="s">
        <v>33</v>
      </c>
    </row>
    <row r="400" spans="1:9" x14ac:dyDescent="0.35">
      <c r="A400" t="s">
        <v>59</v>
      </c>
      <c r="C400" t="s">
        <v>57</v>
      </c>
      <c r="D400">
        <v>0.125</v>
      </c>
      <c r="F400" t="s">
        <v>175</v>
      </c>
      <c r="G400" t="s">
        <v>60</v>
      </c>
      <c r="H400" t="s">
        <v>61</v>
      </c>
      <c r="I400" t="s">
        <v>62</v>
      </c>
    </row>
    <row r="401" spans="1:9" x14ac:dyDescent="0.35">
      <c r="A401" t="s">
        <v>63</v>
      </c>
      <c r="C401" t="s">
        <v>54</v>
      </c>
      <c r="D401">
        <v>3.7600000000000001E-2</v>
      </c>
      <c r="F401" t="s">
        <v>175</v>
      </c>
      <c r="G401" t="s">
        <v>60</v>
      </c>
      <c r="H401" t="s">
        <v>61</v>
      </c>
      <c r="I401" t="s">
        <v>33</v>
      </c>
    </row>
    <row r="402" spans="1:9" x14ac:dyDescent="0.35">
      <c r="A402" t="s">
        <v>64</v>
      </c>
      <c r="C402" t="s">
        <v>54</v>
      </c>
      <c r="D402">
        <v>0</v>
      </c>
      <c r="F402" t="s">
        <v>175</v>
      </c>
      <c r="G402" t="s">
        <v>60</v>
      </c>
      <c r="H402" t="s">
        <v>61</v>
      </c>
      <c r="I402" t="s">
        <v>33</v>
      </c>
    </row>
    <row r="403" spans="1:9" x14ac:dyDescent="0.35">
      <c r="A403" t="s">
        <v>65</v>
      </c>
      <c r="C403" t="s">
        <v>54</v>
      </c>
      <c r="D403" s="10">
        <f>0.000198*1000</f>
        <v>0.19799999999999998</v>
      </c>
      <c r="F403" t="s">
        <v>175</v>
      </c>
      <c r="G403" t="s">
        <v>60</v>
      </c>
      <c r="H403" t="s">
        <v>61</v>
      </c>
      <c r="I403" t="s">
        <v>33</v>
      </c>
    </row>
    <row r="404" spans="1:9" x14ac:dyDescent="0.35">
      <c r="A404" t="s">
        <v>66</v>
      </c>
      <c r="C404" t="s">
        <v>54</v>
      </c>
      <c r="D404">
        <v>0.52600000000000002</v>
      </c>
      <c r="F404" t="s">
        <v>175</v>
      </c>
      <c r="G404" t="s">
        <v>60</v>
      </c>
      <c r="H404" t="s">
        <v>61</v>
      </c>
      <c r="I404" t="s">
        <v>33</v>
      </c>
    </row>
    <row r="405" spans="1:9" x14ac:dyDescent="0.35">
      <c r="A405" t="s">
        <v>67</v>
      </c>
      <c r="C405" t="s">
        <v>54</v>
      </c>
      <c r="D405">
        <v>0</v>
      </c>
      <c r="F405" t="s">
        <v>175</v>
      </c>
      <c r="G405" t="s">
        <v>60</v>
      </c>
      <c r="H405" t="s">
        <v>61</v>
      </c>
      <c r="I405" t="s">
        <v>33</v>
      </c>
    </row>
    <row r="406" spans="1:9" x14ac:dyDescent="0.35">
      <c r="A406" t="s">
        <v>179</v>
      </c>
      <c r="C406" t="s">
        <v>54</v>
      </c>
      <c r="D406">
        <v>0.47600000000000003</v>
      </c>
      <c r="F406" t="s">
        <v>175</v>
      </c>
      <c r="G406" t="s">
        <v>60</v>
      </c>
      <c r="H406" t="s">
        <v>61</v>
      </c>
      <c r="I406" t="s">
        <v>33</v>
      </c>
    </row>
    <row r="407" spans="1:9" x14ac:dyDescent="0.35">
      <c r="A407" t="s">
        <v>166</v>
      </c>
      <c r="B407" t="s">
        <v>132</v>
      </c>
      <c r="C407" t="s">
        <v>54</v>
      </c>
      <c r="D407">
        <v>0.29528799999999999</v>
      </c>
      <c r="E407" t="s">
        <v>135</v>
      </c>
      <c r="F407" t="s">
        <v>174</v>
      </c>
      <c r="G407" t="s">
        <v>68</v>
      </c>
    </row>
    <row r="408" spans="1:9" x14ac:dyDescent="0.35">
      <c r="A408" t="s">
        <v>167</v>
      </c>
      <c r="B408" t="s">
        <v>133</v>
      </c>
      <c r="C408" t="s">
        <v>54</v>
      </c>
      <c r="D408">
        <v>0.168736</v>
      </c>
      <c r="E408" t="s">
        <v>135</v>
      </c>
      <c r="F408" t="s">
        <v>174</v>
      </c>
      <c r="G408" t="s">
        <v>68</v>
      </c>
    </row>
    <row r="409" spans="1:9" x14ac:dyDescent="0.35">
      <c r="A409" t="s">
        <v>180</v>
      </c>
      <c r="B409" t="s">
        <v>134</v>
      </c>
      <c r="C409" t="s">
        <v>54</v>
      </c>
      <c r="D409">
        <v>0.253104</v>
      </c>
      <c r="E409" t="s">
        <v>135</v>
      </c>
      <c r="F409" t="s">
        <v>174</v>
      </c>
      <c r="G409" t="s">
        <v>68</v>
      </c>
    </row>
    <row r="412" spans="1:9" x14ac:dyDescent="0.35">
      <c r="A412" t="s">
        <v>2</v>
      </c>
      <c r="B412" t="s">
        <v>224</v>
      </c>
    </row>
    <row r="413" spans="1:9" x14ac:dyDescent="0.35">
      <c r="A413" t="s">
        <v>3</v>
      </c>
      <c r="B413" t="s">
        <v>225</v>
      </c>
    </row>
    <row r="414" spans="1:9" x14ac:dyDescent="0.35">
      <c r="A414" t="s">
        <v>4</v>
      </c>
      <c r="B414" t="s">
        <v>5</v>
      </c>
    </row>
    <row r="415" spans="1:9" x14ac:dyDescent="0.35">
      <c r="A415" t="s">
        <v>6</v>
      </c>
      <c r="B415">
        <v>1</v>
      </c>
    </row>
    <row r="416" spans="1:9" x14ac:dyDescent="0.35">
      <c r="A416" t="s">
        <v>7</v>
      </c>
      <c r="B416" t="s">
        <v>8</v>
      </c>
    </row>
    <row r="418" spans="1:9" x14ac:dyDescent="0.35">
      <c r="A418" t="s">
        <v>9</v>
      </c>
    </row>
    <row r="419" spans="1:9" x14ac:dyDescent="0.35">
      <c r="A419" t="s">
        <v>10</v>
      </c>
      <c r="B419" t="s">
        <v>11</v>
      </c>
      <c r="C419" t="s">
        <v>7</v>
      </c>
      <c r="D419" t="s">
        <v>12</v>
      </c>
      <c r="E419" t="s">
        <v>4</v>
      </c>
      <c r="F419" t="s">
        <v>13</v>
      </c>
      <c r="G419" t="s">
        <v>14</v>
      </c>
      <c r="H419" t="s">
        <v>15</v>
      </c>
      <c r="I419" t="s">
        <v>3</v>
      </c>
    </row>
    <row r="420" spans="1:9" x14ac:dyDescent="0.35">
      <c r="A420" t="str">
        <f>B412</f>
        <v xml:space="preserve">AD_city </v>
      </c>
      <c r="B420" t="s">
        <v>16</v>
      </c>
      <c r="C420" t="s">
        <v>8</v>
      </c>
      <c r="D420">
        <v>1</v>
      </c>
      <c r="E420" t="s">
        <v>5</v>
      </c>
      <c r="F420" t="s">
        <v>176</v>
      </c>
      <c r="G420" t="s">
        <v>17</v>
      </c>
    </row>
    <row r="421" spans="1:9" x14ac:dyDescent="0.35">
      <c r="A421" t="s">
        <v>34</v>
      </c>
      <c r="B421" t="s">
        <v>35</v>
      </c>
      <c r="C421" t="s">
        <v>36</v>
      </c>
      <c r="D421">
        <v>2.1350000000000002</v>
      </c>
      <c r="E421" t="s">
        <v>5</v>
      </c>
      <c r="F421" t="s">
        <v>174</v>
      </c>
      <c r="G421" t="s">
        <v>19</v>
      </c>
    </row>
    <row r="422" spans="1:9" x14ac:dyDescent="0.35">
      <c r="A422" t="s">
        <v>71</v>
      </c>
      <c r="B422" t="s">
        <v>72</v>
      </c>
      <c r="C422" t="s">
        <v>73</v>
      </c>
      <c r="D422">
        <v>241.60000000000002</v>
      </c>
      <c r="E422" t="s">
        <v>50</v>
      </c>
      <c r="F422" t="s">
        <v>174</v>
      </c>
      <c r="G422" t="s">
        <v>19</v>
      </c>
    </row>
    <row r="423" spans="1:9" x14ac:dyDescent="0.35">
      <c r="A423" t="s">
        <v>38</v>
      </c>
      <c r="B423" t="s">
        <v>39</v>
      </c>
      <c r="C423" t="s">
        <v>40</v>
      </c>
      <c r="D423">
        <v>0.352112676056338</v>
      </c>
      <c r="E423" t="s">
        <v>41</v>
      </c>
      <c r="F423" t="s">
        <v>174</v>
      </c>
      <c r="G423" t="s">
        <v>19</v>
      </c>
    </row>
    <row r="424" spans="1:9" x14ac:dyDescent="0.35">
      <c r="A424" t="s">
        <v>74</v>
      </c>
      <c r="B424" t="s">
        <v>75</v>
      </c>
      <c r="C424" t="s">
        <v>54</v>
      </c>
      <c r="D424">
        <v>225</v>
      </c>
      <c r="E424" t="s">
        <v>70</v>
      </c>
      <c r="F424" t="s">
        <v>174</v>
      </c>
      <c r="G424" t="s">
        <v>19</v>
      </c>
    </row>
    <row r="425" spans="1:9" x14ac:dyDescent="0.35">
      <c r="A425" t="s">
        <v>45</v>
      </c>
      <c r="B425" t="s">
        <v>46</v>
      </c>
      <c r="C425" t="s">
        <v>44</v>
      </c>
      <c r="D425">
        <v>0</v>
      </c>
      <c r="E425" t="s">
        <v>47</v>
      </c>
      <c r="F425" t="s">
        <v>174</v>
      </c>
      <c r="G425" t="s">
        <v>19</v>
      </c>
    </row>
    <row r="426" spans="1:9" x14ac:dyDescent="0.35">
      <c r="A426" t="s">
        <v>63</v>
      </c>
      <c r="C426" t="s">
        <v>54</v>
      </c>
      <c r="D426">
        <v>0.14559999999999998</v>
      </c>
      <c r="F426" t="s">
        <v>175</v>
      </c>
      <c r="G426" t="s">
        <v>60</v>
      </c>
      <c r="H426" t="s">
        <v>61</v>
      </c>
    </row>
    <row r="427" spans="1:9" x14ac:dyDescent="0.35">
      <c r="A427" t="s">
        <v>64</v>
      </c>
      <c r="C427" t="s">
        <v>54</v>
      </c>
      <c r="D427">
        <v>0</v>
      </c>
      <c r="F427" t="s">
        <v>175</v>
      </c>
      <c r="G427" t="s">
        <v>60</v>
      </c>
      <c r="H427" t="s">
        <v>61</v>
      </c>
    </row>
    <row r="428" spans="1:9" x14ac:dyDescent="0.35">
      <c r="A428" t="s">
        <v>65</v>
      </c>
      <c r="C428" t="s">
        <v>54</v>
      </c>
      <c r="D428">
        <f>0.1/60000*1000</f>
        <v>1.6666666666666666E-3</v>
      </c>
      <c r="F428" t="s">
        <v>175</v>
      </c>
      <c r="G428" t="s">
        <v>60</v>
      </c>
      <c r="H428" t="s">
        <v>61</v>
      </c>
    </row>
    <row r="429" spans="1:9" x14ac:dyDescent="0.35">
      <c r="A429" t="s">
        <v>66</v>
      </c>
      <c r="C429" t="s">
        <v>54</v>
      </c>
      <c r="D429">
        <v>8.9599999999999999E-2</v>
      </c>
      <c r="F429" t="s">
        <v>175</v>
      </c>
      <c r="G429" t="s">
        <v>60</v>
      </c>
      <c r="H429" t="s">
        <v>61</v>
      </c>
    </row>
    <row r="430" spans="1:9" x14ac:dyDescent="0.35">
      <c r="A430" t="s">
        <v>67</v>
      </c>
      <c r="C430" t="s">
        <v>54</v>
      </c>
      <c r="D430">
        <f>D428</f>
        <v>1.6666666666666666E-3</v>
      </c>
      <c r="F430" t="s">
        <v>175</v>
      </c>
      <c r="G430" t="s">
        <v>60</v>
      </c>
      <c r="H430" t="s">
        <v>61</v>
      </c>
    </row>
    <row r="431" spans="1:9" x14ac:dyDescent="0.35">
      <c r="A431" t="s">
        <v>179</v>
      </c>
      <c r="C431" t="s">
        <v>54</v>
      </c>
      <c r="D431">
        <v>0.42599999999999999</v>
      </c>
      <c r="F431" t="s">
        <v>175</v>
      </c>
      <c r="G431" t="s">
        <v>60</v>
      </c>
      <c r="H431" t="s">
        <v>61</v>
      </c>
    </row>
    <row r="432" spans="1:9" x14ac:dyDescent="0.35">
      <c r="A432" t="s">
        <v>76</v>
      </c>
      <c r="C432" t="s">
        <v>54</v>
      </c>
      <c r="D432">
        <v>2.97E-3</v>
      </c>
      <c r="F432" t="s">
        <v>175</v>
      </c>
      <c r="G432" t="s">
        <v>60</v>
      </c>
      <c r="H432" t="s">
        <v>61</v>
      </c>
    </row>
    <row r="433" spans="1:9" x14ac:dyDescent="0.35">
      <c r="A433" t="s">
        <v>77</v>
      </c>
      <c r="C433" t="s">
        <v>54</v>
      </c>
      <c r="D433">
        <v>9.2799999999999992E-5</v>
      </c>
      <c r="F433" t="s">
        <v>175</v>
      </c>
      <c r="G433" t="s">
        <v>60</v>
      </c>
      <c r="H433" t="s">
        <v>59</v>
      </c>
    </row>
    <row r="434" spans="1:9" x14ac:dyDescent="0.35">
      <c r="A434" t="s">
        <v>78</v>
      </c>
      <c r="C434" t="s">
        <v>54</v>
      </c>
      <c r="D434">
        <v>1.0899999999999999E-4</v>
      </c>
      <c r="F434" t="s">
        <v>175</v>
      </c>
      <c r="G434" t="s">
        <v>60</v>
      </c>
      <c r="H434" t="s">
        <v>59</v>
      </c>
    </row>
    <row r="435" spans="1:9" x14ac:dyDescent="0.35">
      <c r="A435" t="s">
        <v>79</v>
      </c>
      <c r="C435" t="s">
        <v>54</v>
      </c>
      <c r="D435">
        <v>7.039999999999999E-5</v>
      </c>
      <c r="F435" t="s">
        <v>175</v>
      </c>
      <c r="G435" t="s">
        <v>60</v>
      </c>
      <c r="H435" t="s">
        <v>61</v>
      </c>
    </row>
    <row r="436" spans="1:9" x14ac:dyDescent="0.35">
      <c r="A436" t="s">
        <v>177</v>
      </c>
      <c r="B436" t="s">
        <v>56</v>
      </c>
      <c r="C436" t="s">
        <v>57</v>
      </c>
      <c r="D436">
        <v>-0.22500000000000001</v>
      </c>
      <c r="E436" t="s">
        <v>5</v>
      </c>
      <c r="F436" t="s">
        <v>174</v>
      </c>
      <c r="G436" t="s">
        <v>19</v>
      </c>
      <c r="I436" t="s">
        <v>33</v>
      </c>
    </row>
    <row r="437" spans="1:9" x14ac:dyDescent="0.35">
      <c r="A437" t="s">
        <v>171</v>
      </c>
      <c r="B437" t="s">
        <v>170</v>
      </c>
      <c r="C437" t="s">
        <v>57</v>
      </c>
      <c r="D437">
        <v>20.905141753653442</v>
      </c>
      <c r="E437" t="s">
        <v>178</v>
      </c>
      <c r="F437" t="s">
        <v>174</v>
      </c>
      <c r="G437" t="s">
        <v>68</v>
      </c>
    </row>
    <row r="438" spans="1:9" x14ac:dyDescent="0.35">
      <c r="A438" t="s">
        <v>166</v>
      </c>
      <c r="B438" t="s">
        <v>132</v>
      </c>
      <c r="C438" t="s">
        <v>54</v>
      </c>
      <c r="D438">
        <f>'Fertilizer credit for compost'!A38</f>
        <v>3.1701499999999991</v>
      </c>
      <c r="E438" t="s">
        <v>135</v>
      </c>
      <c r="F438" s="20" t="s">
        <v>174</v>
      </c>
      <c r="G438" t="s">
        <v>68</v>
      </c>
      <c r="I438" t="s">
        <v>202</v>
      </c>
    </row>
    <row r="439" spans="1:9" x14ac:dyDescent="0.35">
      <c r="A439" t="s">
        <v>167</v>
      </c>
      <c r="B439" t="s">
        <v>133</v>
      </c>
      <c r="C439" t="s">
        <v>54</v>
      </c>
      <c r="D439">
        <f>'Fertilizer credit for compost'!A39</f>
        <v>3.348749999999999</v>
      </c>
      <c r="E439" t="s">
        <v>135</v>
      </c>
      <c r="F439" s="20" t="s">
        <v>174</v>
      </c>
      <c r="G439" t="s">
        <v>68</v>
      </c>
    </row>
    <row r="440" spans="1:9" x14ac:dyDescent="0.35">
      <c r="A440" t="s">
        <v>180</v>
      </c>
      <c r="B440" t="s">
        <v>134</v>
      </c>
      <c r="C440" t="s">
        <v>54</v>
      </c>
      <c r="D440">
        <f>'Fertilizer credit for compost'!A40</f>
        <v>0.2902249999999999</v>
      </c>
      <c r="E440" t="s">
        <v>135</v>
      </c>
      <c r="F440" s="20" t="s">
        <v>174</v>
      </c>
      <c r="G440" t="s">
        <v>68</v>
      </c>
    </row>
    <row r="444" spans="1:9" x14ac:dyDescent="0.35">
      <c r="A444" s="3" t="s">
        <v>2</v>
      </c>
      <c r="B444" s="3" t="s">
        <v>227</v>
      </c>
    </row>
    <row r="445" spans="1:9" x14ac:dyDescent="0.35">
      <c r="A445" t="s">
        <v>3</v>
      </c>
      <c r="B445" t="s">
        <v>228</v>
      </c>
    </row>
    <row r="446" spans="1:9" x14ac:dyDescent="0.35">
      <c r="A446" t="s">
        <v>4</v>
      </c>
      <c r="B446" t="s">
        <v>5</v>
      </c>
    </row>
    <row r="447" spans="1:9" x14ac:dyDescent="0.35">
      <c r="A447" t="s">
        <v>6</v>
      </c>
      <c r="B447">
        <v>1</v>
      </c>
    </row>
    <row r="448" spans="1:9" x14ac:dyDescent="0.35">
      <c r="A448" t="s">
        <v>7</v>
      </c>
      <c r="B448" t="s">
        <v>8</v>
      </c>
    </row>
    <row r="450" spans="1:10" x14ac:dyDescent="0.35">
      <c r="A450" s="3" t="s">
        <v>9</v>
      </c>
      <c r="B450" s="3"/>
      <c r="C450" s="3"/>
      <c r="D450" s="3"/>
      <c r="E450" s="3"/>
      <c r="F450" s="3"/>
      <c r="G450" s="3"/>
      <c r="H450" s="3"/>
      <c r="I450" s="3"/>
    </row>
    <row r="451" spans="1:10" x14ac:dyDescent="0.35">
      <c r="A451" s="3" t="s">
        <v>10</v>
      </c>
      <c r="B451" s="3" t="s">
        <v>11</v>
      </c>
      <c r="C451" s="3" t="s">
        <v>7</v>
      </c>
      <c r="D451" s="3" t="s">
        <v>12</v>
      </c>
      <c r="E451" s="3" t="s">
        <v>4</v>
      </c>
      <c r="F451" s="3" t="s">
        <v>13</v>
      </c>
      <c r="G451" s="3" t="s">
        <v>14</v>
      </c>
      <c r="H451" s="3" t="s">
        <v>15</v>
      </c>
      <c r="I451" s="3" t="s">
        <v>3</v>
      </c>
    </row>
    <row r="452" spans="1:10" x14ac:dyDescent="0.35">
      <c r="A452" t="str">
        <f>B444</f>
        <v>Closed_composter_city_0702</v>
      </c>
      <c r="B452" t="s">
        <v>16</v>
      </c>
      <c r="C452" t="s">
        <v>8</v>
      </c>
      <c r="D452">
        <v>1</v>
      </c>
      <c r="E452" t="s">
        <v>5</v>
      </c>
      <c r="F452" t="s">
        <v>176</v>
      </c>
      <c r="G452" t="s">
        <v>17</v>
      </c>
      <c r="I452" t="s">
        <v>33</v>
      </c>
    </row>
    <row r="453" spans="1:10" x14ac:dyDescent="0.35">
      <c r="A453" t="s">
        <v>34</v>
      </c>
      <c r="B453" t="s">
        <v>35</v>
      </c>
      <c r="C453" t="s">
        <v>36</v>
      </c>
      <c r="D453">
        <v>121.10967485333597</v>
      </c>
      <c r="E453" t="s">
        <v>5</v>
      </c>
      <c r="F453" t="s">
        <v>174</v>
      </c>
      <c r="G453" t="s">
        <v>19</v>
      </c>
      <c r="I453" t="s">
        <v>37</v>
      </c>
    </row>
    <row r="454" spans="1:10" x14ac:dyDescent="0.35">
      <c r="A454" t="s">
        <v>171</v>
      </c>
      <c r="B454" t="s">
        <v>170</v>
      </c>
      <c r="C454" t="s">
        <v>57</v>
      </c>
      <c r="D454">
        <v>4.3474694242815941</v>
      </c>
      <c r="E454" t="s">
        <v>178</v>
      </c>
      <c r="F454" s="20" t="s">
        <v>174</v>
      </c>
      <c r="G454" t="s">
        <v>19</v>
      </c>
      <c r="I454" t="s">
        <v>37</v>
      </c>
    </row>
    <row r="455" spans="1:10" x14ac:dyDescent="0.35">
      <c r="A455" t="s">
        <v>45</v>
      </c>
      <c r="B455" t="s">
        <v>46</v>
      </c>
      <c r="C455" t="s">
        <v>44</v>
      </c>
      <c r="D455">
        <f>Transportation!B14</f>
        <v>0</v>
      </c>
      <c r="E455" t="s">
        <v>47</v>
      </c>
      <c r="F455" t="s">
        <v>174</v>
      </c>
      <c r="G455" t="s">
        <v>19</v>
      </c>
      <c r="I455" t="s">
        <v>37</v>
      </c>
    </row>
    <row r="456" spans="1:10" x14ac:dyDescent="0.35">
      <c r="A456" t="s">
        <v>177</v>
      </c>
      <c r="B456" t="s">
        <v>56</v>
      </c>
      <c r="C456" t="s">
        <v>57</v>
      </c>
      <c r="D456">
        <v>-6.4298001392065193E-2</v>
      </c>
      <c r="E456" t="s">
        <v>5</v>
      </c>
      <c r="F456" t="s">
        <v>174</v>
      </c>
      <c r="G456" t="s">
        <v>19</v>
      </c>
      <c r="I456" t="s">
        <v>33</v>
      </c>
    </row>
    <row r="457" spans="1:10" x14ac:dyDescent="0.35">
      <c r="A457" t="s">
        <v>65</v>
      </c>
      <c r="C457" t="s">
        <v>54</v>
      </c>
      <c r="D457">
        <v>0.2050810380829273</v>
      </c>
      <c r="F457" t="s">
        <v>175</v>
      </c>
      <c r="G457" t="s">
        <v>60</v>
      </c>
      <c r="H457" t="s">
        <v>61</v>
      </c>
      <c r="I457" t="s">
        <v>33</v>
      </c>
      <c r="J457" t="s">
        <v>232</v>
      </c>
    </row>
    <row r="458" spans="1:10" x14ac:dyDescent="0.35">
      <c r="A458" t="s">
        <v>166</v>
      </c>
      <c r="B458" t="s">
        <v>132</v>
      </c>
      <c r="C458" t="s">
        <v>54</v>
      </c>
      <c r="D458">
        <v>3.8529443404593806</v>
      </c>
      <c r="E458" t="s">
        <v>135</v>
      </c>
      <c r="F458" t="s">
        <v>174</v>
      </c>
      <c r="G458" t="s">
        <v>68</v>
      </c>
    </row>
    <row r="459" spans="1:10" x14ac:dyDescent="0.35">
      <c r="A459" t="s">
        <v>167</v>
      </c>
      <c r="B459" t="s">
        <v>133</v>
      </c>
      <c r="C459" t="s">
        <v>54</v>
      </c>
      <c r="D459">
        <v>1.0263991070895893</v>
      </c>
      <c r="E459" t="s">
        <v>135</v>
      </c>
      <c r="F459" t="s">
        <v>174</v>
      </c>
      <c r="G459" t="s">
        <v>68</v>
      </c>
    </row>
    <row r="460" spans="1:10" x14ac:dyDescent="0.35">
      <c r="A460" t="s">
        <v>180</v>
      </c>
      <c r="B460" t="s">
        <v>134</v>
      </c>
      <c r="C460" t="s">
        <v>54</v>
      </c>
      <c r="D460">
        <v>1.263260439494879</v>
      </c>
      <c r="E460" t="s">
        <v>135</v>
      </c>
      <c r="F460" t="s">
        <v>174</v>
      </c>
      <c r="G460" t="s">
        <v>68</v>
      </c>
    </row>
    <row r="461" spans="1:10" x14ac:dyDescent="0.35">
      <c r="A461" t="s">
        <v>231</v>
      </c>
      <c r="B461" t="s">
        <v>230</v>
      </c>
      <c r="C461" t="s">
        <v>54</v>
      </c>
      <c r="D461">
        <v>1.3264392960127271</v>
      </c>
      <c r="E461" t="s">
        <v>50</v>
      </c>
      <c r="F461" t="s">
        <v>174</v>
      </c>
      <c r="G461" t="s">
        <v>19</v>
      </c>
    </row>
    <row r="465" spans="1:9" x14ac:dyDescent="0.35">
      <c r="A465" s="29" t="s">
        <v>2</v>
      </c>
      <c r="B465" s="29" t="s">
        <v>233</v>
      </c>
    </row>
    <row r="466" spans="1:9" x14ac:dyDescent="0.35">
      <c r="A466" t="s">
        <v>3</v>
      </c>
      <c r="B466" t="s">
        <v>228</v>
      </c>
    </row>
    <row r="467" spans="1:9" x14ac:dyDescent="0.35">
      <c r="A467" t="s">
        <v>4</v>
      </c>
      <c r="B467" t="s">
        <v>5</v>
      </c>
    </row>
    <row r="468" spans="1:9" x14ac:dyDescent="0.35">
      <c r="A468" t="s">
        <v>6</v>
      </c>
      <c r="B468">
        <v>1</v>
      </c>
    </row>
    <row r="469" spans="1:9" x14ac:dyDescent="0.35">
      <c r="A469" t="s">
        <v>7</v>
      </c>
      <c r="B469" t="s">
        <v>8</v>
      </c>
    </row>
    <row r="471" spans="1:9" x14ac:dyDescent="0.35">
      <c r="A471" s="3" t="s">
        <v>9</v>
      </c>
      <c r="B471" s="3"/>
      <c r="C471" s="3"/>
      <c r="D471" s="3"/>
      <c r="E471" s="3"/>
      <c r="F471" s="3"/>
      <c r="G471" s="3"/>
      <c r="H471" s="3"/>
      <c r="I471" s="3"/>
    </row>
    <row r="472" spans="1:9" x14ac:dyDescent="0.35">
      <c r="A472" s="3" t="s">
        <v>10</v>
      </c>
      <c r="B472" s="3" t="s">
        <v>11</v>
      </c>
      <c r="C472" s="3" t="s">
        <v>7</v>
      </c>
      <c r="D472" s="3" t="s">
        <v>12</v>
      </c>
      <c r="E472" s="3" t="s">
        <v>4</v>
      </c>
      <c r="F472" s="3" t="s">
        <v>13</v>
      </c>
      <c r="G472" s="3" t="s">
        <v>14</v>
      </c>
      <c r="H472" s="3" t="s">
        <v>15</v>
      </c>
      <c r="I472" s="3" t="s">
        <v>3</v>
      </c>
    </row>
    <row r="473" spans="1:9" x14ac:dyDescent="0.35">
      <c r="A473" t="str">
        <f>B465</f>
        <v>Closed_composter_no_N2O</v>
      </c>
      <c r="B473" t="s">
        <v>16</v>
      </c>
      <c r="C473" t="s">
        <v>8</v>
      </c>
      <c r="D473">
        <v>1</v>
      </c>
      <c r="E473" t="s">
        <v>5</v>
      </c>
      <c r="F473" t="s">
        <v>176</v>
      </c>
      <c r="G473" t="s">
        <v>17</v>
      </c>
      <c r="I473" t="s">
        <v>33</v>
      </c>
    </row>
    <row r="474" spans="1:9" x14ac:dyDescent="0.35">
      <c r="A474" t="s">
        <v>34</v>
      </c>
      <c r="B474" t="s">
        <v>35</v>
      </c>
      <c r="C474" t="s">
        <v>36</v>
      </c>
      <c r="D474">
        <v>121.10967485333597</v>
      </c>
      <c r="E474" t="s">
        <v>5</v>
      </c>
      <c r="F474" t="s">
        <v>174</v>
      </c>
      <c r="G474" t="s">
        <v>19</v>
      </c>
      <c r="I474" t="s">
        <v>37</v>
      </c>
    </row>
    <row r="475" spans="1:9" x14ac:dyDescent="0.35">
      <c r="A475" t="s">
        <v>171</v>
      </c>
      <c r="B475" t="s">
        <v>170</v>
      </c>
      <c r="C475" t="s">
        <v>57</v>
      </c>
      <c r="D475">
        <v>4.3474694242815941</v>
      </c>
      <c r="E475" t="s">
        <v>178</v>
      </c>
      <c r="F475" s="20" t="s">
        <v>174</v>
      </c>
      <c r="G475" t="s">
        <v>19</v>
      </c>
      <c r="I475" t="s">
        <v>37</v>
      </c>
    </row>
    <row r="476" spans="1:9" x14ac:dyDescent="0.35">
      <c r="A476" t="s">
        <v>45</v>
      </c>
      <c r="B476" t="s">
        <v>46</v>
      </c>
      <c r="C476" t="s">
        <v>44</v>
      </c>
      <c r="D476">
        <f>D455</f>
        <v>0</v>
      </c>
      <c r="E476" t="s">
        <v>47</v>
      </c>
      <c r="F476" t="s">
        <v>174</v>
      </c>
      <c r="G476" t="s">
        <v>19</v>
      </c>
      <c r="I476" t="s">
        <v>37</v>
      </c>
    </row>
    <row r="477" spans="1:9" x14ac:dyDescent="0.35">
      <c r="A477" t="s">
        <v>177</v>
      </c>
      <c r="B477" t="s">
        <v>56</v>
      </c>
      <c r="C477" t="s">
        <v>57</v>
      </c>
      <c r="D477">
        <v>-6.4298001392065193E-2</v>
      </c>
      <c r="E477" t="s">
        <v>5</v>
      </c>
      <c r="F477" t="s">
        <v>174</v>
      </c>
      <c r="G477" t="s">
        <v>19</v>
      </c>
      <c r="I477" t="s">
        <v>33</v>
      </c>
    </row>
    <row r="478" spans="1:9" x14ac:dyDescent="0.35">
      <c r="A478" t="s">
        <v>65</v>
      </c>
      <c r="C478" t="s">
        <v>54</v>
      </c>
      <c r="D478">
        <v>0</v>
      </c>
      <c r="F478" t="s">
        <v>175</v>
      </c>
      <c r="G478" t="s">
        <v>60</v>
      </c>
      <c r="H478" t="s">
        <v>61</v>
      </c>
      <c r="I478" t="s">
        <v>33</v>
      </c>
    </row>
    <row r="479" spans="1:9" x14ac:dyDescent="0.35">
      <c r="A479" t="s">
        <v>166</v>
      </c>
      <c r="B479" t="s">
        <v>132</v>
      </c>
      <c r="C479" t="s">
        <v>54</v>
      </c>
      <c r="D479">
        <v>3.8529443404593806</v>
      </c>
      <c r="E479" t="s">
        <v>135</v>
      </c>
      <c r="F479" t="s">
        <v>174</v>
      </c>
      <c r="G479" t="s">
        <v>68</v>
      </c>
    </row>
    <row r="480" spans="1:9" x14ac:dyDescent="0.35">
      <c r="A480" t="s">
        <v>167</v>
      </c>
      <c r="B480" t="s">
        <v>133</v>
      </c>
      <c r="C480" t="s">
        <v>54</v>
      </c>
      <c r="D480">
        <v>1.0263991070895893</v>
      </c>
      <c r="E480" t="s">
        <v>135</v>
      </c>
      <c r="F480" t="s">
        <v>174</v>
      </c>
      <c r="G480" t="s">
        <v>68</v>
      </c>
    </row>
    <row r="481" spans="1:9" x14ac:dyDescent="0.35">
      <c r="A481" t="s">
        <v>180</v>
      </c>
      <c r="B481" t="s">
        <v>134</v>
      </c>
      <c r="C481" t="s">
        <v>54</v>
      </c>
      <c r="D481">
        <v>1.263260439494879</v>
      </c>
      <c r="E481" t="s">
        <v>135</v>
      </c>
      <c r="F481" t="s">
        <v>174</v>
      </c>
      <c r="G481" t="s">
        <v>68</v>
      </c>
    </row>
    <row r="482" spans="1:9" x14ac:dyDescent="0.35">
      <c r="A482" t="s">
        <v>231</v>
      </c>
      <c r="B482" t="s">
        <v>230</v>
      </c>
      <c r="C482" t="s">
        <v>54</v>
      </c>
      <c r="D482">
        <v>1.3264392960127271</v>
      </c>
      <c r="E482" t="s">
        <v>50</v>
      </c>
      <c r="F482" t="s">
        <v>174</v>
      </c>
      <c r="G482" t="s">
        <v>19</v>
      </c>
    </row>
    <row r="484" spans="1:9" x14ac:dyDescent="0.35">
      <c r="A484" s="1" t="s">
        <v>2</v>
      </c>
      <c r="B484" t="s">
        <v>244</v>
      </c>
      <c r="C484" s="2"/>
      <c r="D484" s="2"/>
      <c r="E484" s="2"/>
      <c r="F484" s="2"/>
      <c r="G484" s="2"/>
      <c r="H484" s="2"/>
      <c r="I484" s="2"/>
    </row>
    <row r="485" spans="1:9" x14ac:dyDescent="0.35">
      <c r="A485" s="3" t="s">
        <v>3</v>
      </c>
      <c r="B485" t="s">
        <v>241</v>
      </c>
    </row>
    <row r="486" spans="1:9" x14ac:dyDescent="0.35">
      <c r="A486" s="4" t="s">
        <v>4</v>
      </c>
      <c r="B486" s="5" t="s">
        <v>5</v>
      </c>
      <c r="C486" s="5"/>
      <c r="D486" s="5"/>
      <c r="E486" s="5"/>
      <c r="F486" s="5"/>
      <c r="G486" s="5"/>
      <c r="H486" s="5"/>
      <c r="I486" s="5"/>
    </row>
    <row r="487" spans="1:9" x14ac:dyDescent="0.35">
      <c r="A487" s="4" t="s">
        <v>6</v>
      </c>
      <c r="B487" s="6">
        <v>1</v>
      </c>
      <c r="C487" s="5"/>
      <c r="D487" s="5"/>
      <c r="E487" s="5"/>
      <c r="F487" s="5"/>
      <c r="G487" s="5"/>
      <c r="H487" s="5"/>
      <c r="I487" s="5"/>
    </row>
    <row r="488" spans="1:9" x14ac:dyDescent="0.35">
      <c r="A488" s="4" t="s">
        <v>7</v>
      </c>
      <c r="B488" s="5" t="s">
        <v>8</v>
      </c>
      <c r="C488" s="5"/>
      <c r="D488" s="5"/>
      <c r="E488" s="5"/>
      <c r="F488" s="5"/>
      <c r="G488" s="5"/>
      <c r="H488" s="5"/>
      <c r="I488" s="5"/>
    </row>
    <row r="490" spans="1:9" x14ac:dyDescent="0.35">
      <c r="A490" s="3" t="s">
        <v>9</v>
      </c>
    </row>
    <row r="491" spans="1:9" x14ac:dyDescent="0.35">
      <c r="A491" s="3" t="s">
        <v>10</v>
      </c>
      <c r="B491" s="3" t="s">
        <v>11</v>
      </c>
      <c r="C491" s="3" t="s">
        <v>7</v>
      </c>
      <c r="D491" s="8" t="s">
        <v>12</v>
      </c>
      <c r="E491" s="3" t="s">
        <v>4</v>
      </c>
      <c r="F491" s="3" t="s">
        <v>13</v>
      </c>
      <c r="G491" s="3" t="s">
        <v>14</v>
      </c>
      <c r="H491" s="3" t="s">
        <v>15</v>
      </c>
      <c r="I491" t="s">
        <v>3</v>
      </c>
    </row>
    <row r="492" spans="1:9" x14ac:dyDescent="0.35">
      <c r="A492" t="str">
        <f>B484</f>
        <v>Landfill_cecile_de_milton_WARM</v>
      </c>
      <c r="B492" t="s">
        <v>16</v>
      </c>
      <c r="C492" t="s">
        <v>8</v>
      </c>
      <c r="D492" s="12">
        <v>1</v>
      </c>
      <c r="E492" t="s">
        <v>5</v>
      </c>
      <c r="F492" t="str">
        <f>$B$1</f>
        <v>OWM Facilities</v>
      </c>
      <c r="G492" t="s">
        <v>17</v>
      </c>
    </row>
    <row r="493" spans="1:9" x14ac:dyDescent="0.35">
      <c r="A493" t="s">
        <v>45</v>
      </c>
      <c r="B493" t="s">
        <v>46</v>
      </c>
      <c r="C493" t="s">
        <v>44</v>
      </c>
      <c r="D493" s="13">
        <f>Transportation!B9</f>
        <v>96</v>
      </c>
      <c r="E493" t="s">
        <v>47</v>
      </c>
      <c r="F493" s="20" t="s">
        <v>174</v>
      </c>
      <c r="G493" t="s">
        <v>19</v>
      </c>
    </row>
    <row r="494" spans="1:9" x14ac:dyDescent="0.35">
      <c r="A494" t="s">
        <v>182</v>
      </c>
      <c r="B494" t="s">
        <v>183</v>
      </c>
      <c r="C494" t="s">
        <v>54</v>
      </c>
      <c r="D494" s="10">
        <v>5.276331364752</v>
      </c>
      <c r="E494" t="s">
        <v>50</v>
      </c>
      <c r="F494" s="20" t="s">
        <v>174</v>
      </c>
      <c r="G494" t="s">
        <v>19</v>
      </c>
      <c r="I494" t="s">
        <v>37</v>
      </c>
    </row>
    <row r="495" spans="1:9" x14ac:dyDescent="0.35">
      <c r="A495" t="s">
        <v>122</v>
      </c>
      <c r="C495" t="s">
        <v>54</v>
      </c>
      <c r="D495" s="2">
        <v>73.246092677999997</v>
      </c>
      <c r="F495" s="20" t="s">
        <v>175</v>
      </c>
      <c r="G495" t="s">
        <v>60</v>
      </c>
      <c r="H495" t="s">
        <v>169</v>
      </c>
    </row>
    <row r="496" spans="1:9" x14ac:dyDescent="0.35">
      <c r="A496" t="s">
        <v>67</v>
      </c>
      <c r="C496" t="s">
        <v>54</v>
      </c>
      <c r="D496">
        <v>14.496811506</v>
      </c>
      <c r="F496" s="20" t="s">
        <v>175</v>
      </c>
      <c r="G496" t="s">
        <v>60</v>
      </c>
      <c r="H496" t="s">
        <v>61</v>
      </c>
    </row>
    <row r="497" spans="1:9" x14ac:dyDescent="0.35">
      <c r="A497" t="s">
        <v>34</v>
      </c>
      <c r="B497" t="s">
        <v>35</v>
      </c>
      <c r="C497" t="s">
        <v>36</v>
      </c>
      <c r="D497" s="2">
        <v>80.908165582352993</v>
      </c>
      <c r="E497" t="s">
        <v>5</v>
      </c>
      <c r="F497" s="20" t="s">
        <v>174</v>
      </c>
      <c r="G497" t="s">
        <v>68</v>
      </c>
    </row>
    <row r="501" spans="1:9" x14ac:dyDescent="0.35">
      <c r="A501" s="1" t="s">
        <v>2</v>
      </c>
      <c r="B501" t="s">
        <v>243</v>
      </c>
      <c r="C501" s="2"/>
      <c r="D501" s="2"/>
      <c r="E501" s="2"/>
      <c r="F501" s="2"/>
      <c r="G501" s="2"/>
      <c r="H501" s="2"/>
      <c r="I501" s="2"/>
    </row>
    <row r="502" spans="1:9" x14ac:dyDescent="0.35">
      <c r="A502" s="3" t="s">
        <v>3</v>
      </c>
      <c r="B502" t="s">
        <v>241</v>
      </c>
    </row>
    <row r="503" spans="1:9" x14ac:dyDescent="0.35">
      <c r="A503" s="4" t="s">
        <v>4</v>
      </c>
      <c r="B503" s="5" t="s">
        <v>5</v>
      </c>
      <c r="C503" s="5"/>
      <c r="D503" s="5"/>
      <c r="E503" s="5"/>
      <c r="F503" s="5"/>
      <c r="G503" s="5"/>
      <c r="H503" s="5"/>
      <c r="I503" s="5"/>
    </row>
    <row r="504" spans="1:9" x14ac:dyDescent="0.35">
      <c r="A504" s="4" t="s">
        <v>6</v>
      </c>
      <c r="B504" s="6">
        <v>1</v>
      </c>
      <c r="C504" s="5"/>
      <c r="D504" s="5"/>
      <c r="E504" s="5"/>
      <c r="F504" s="5"/>
      <c r="G504" s="5"/>
      <c r="H504" s="5"/>
      <c r="I504" s="5"/>
    </row>
    <row r="505" spans="1:9" x14ac:dyDescent="0.35">
      <c r="A505" s="4" t="s">
        <v>7</v>
      </c>
      <c r="B505" s="5" t="s">
        <v>8</v>
      </c>
      <c r="C505" s="5"/>
      <c r="D505" s="5"/>
      <c r="E505" s="5"/>
      <c r="F505" s="5"/>
      <c r="G505" s="5"/>
      <c r="H505" s="5"/>
      <c r="I505" s="5"/>
    </row>
    <row r="507" spans="1:9" x14ac:dyDescent="0.35">
      <c r="A507" s="3" t="s">
        <v>9</v>
      </c>
    </row>
    <row r="508" spans="1:9" x14ac:dyDescent="0.35">
      <c r="A508" s="3" t="s">
        <v>10</v>
      </c>
      <c r="B508" s="3" t="s">
        <v>11</v>
      </c>
      <c r="C508" s="3" t="s">
        <v>7</v>
      </c>
      <c r="D508" s="8" t="s">
        <v>12</v>
      </c>
      <c r="E508" s="3" t="s">
        <v>4</v>
      </c>
      <c r="F508" s="3" t="s">
        <v>13</v>
      </c>
      <c r="G508" s="3" t="s">
        <v>14</v>
      </c>
      <c r="H508" s="3" t="s">
        <v>15</v>
      </c>
      <c r="I508" t="s">
        <v>3</v>
      </c>
    </row>
    <row r="509" spans="1:9" x14ac:dyDescent="0.35">
      <c r="A509" t="str">
        <f>B501</f>
        <v>Landfill_st-nicephore_WARM</v>
      </c>
      <c r="B509" t="s">
        <v>16</v>
      </c>
      <c r="C509" t="s">
        <v>8</v>
      </c>
      <c r="D509" s="12">
        <v>1</v>
      </c>
      <c r="E509" t="s">
        <v>5</v>
      </c>
      <c r="F509" t="str">
        <f>$B$1</f>
        <v>OWM Facilities</v>
      </c>
      <c r="G509" t="s">
        <v>17</v>
      </c>
    </row>
    <row r="510" spans="1:9" x14ac:dyDescent="0.35">
      <c r="A510" t="s">
        <v>45</v>
      </c>
      <c r="B510" t="s">
        <v>46</v>
      </c>
      <c r="C510" t="s">
        <v>44</v>
      </c>
      <c r="D510" s="13">
        <f>Transportation!B8</f>
        <v>123</v>
      </c>
      <c r="E510" t="s">
        <v>47</v>
      </c>
      <c r="F510" s="20" t="s">
        <v>174</v>
      </c>
      <c r="G510" t="s">
        <v>19</v>
      </c>
    </row>
    <row r="511" spans="1:9" x14ac:dyDescent="0.35">
      <c r="A511" t="s">
        <v>182</v>
      </c>
      <c r="B511" t="s">
        <v>183</v>
      </c>
      <c r="C511" t="s">
        <v>54</v>
      </c>
      <c r="D511" s="10">
        <v>5.276331364752</v>
      </c>
      <c r="E511" t="s">
        <v>50</v>
      </c>
      <c r="F511" s="20" t="s">
        <v>174</v>
      </c>
      <c r="G511" t="s">
        <v>19</v>
      </c>
      <c r="I511" t="s">
        <v>37</v>
      </c>
    </row>
    <row r="512" spans="1:9" x14ac:dyDescent="0.35">
      <c r="A512" t="s">
        <v>122</v>
      </c>
      <c r="C512" t="s">
        <v>54</v>
      </c>
      <c r="D512" s="2">
        <v>73.246092677999997</v>
      </c>
      <c r="F512" s="20" t="s">
        <v>175</v>
      </c>
      <c r="G512" t="s">
        <v>60</v>
      </c>
      <c r="H512" t="s">
        <v>169</v>
      </c>
    </row>
    <row r="513" spans="1:9" x14ac:dyDescent="0.35">
      <c r="A513" t="s">
        <v>67</v>
      </c>
      <c r="C513" t="s">
        <v>54</v>
      </c>
      <c r="D513">
        <v>14.496811506</v>
      </c>
      <c r="F513" s="20" t="s">
        <v>175</v>
      </c>
      <c r="G513" t="s">
        <v>60</v>
      </c>
      <c r="H513" t="s">
        <v>61</v>
      </c>
    </row>
    <row r="514" spans="1:9" x14ac:dyDescent="0.35">
      <c r="A514" t="s">
        <v>34</v>
      </c>
      <c r="B514" t="s">
        <v>35</v>
      </c>
      <c r="C514" t="s">
        <v>36</v>
      </c>
      <c r="D514" s="2">
        <v>80.908165582352993</v>
      </c>
      <c r="E514" t="s">
        <v>5</v>
      </c>
      <c r="F514" s="20" t="s">
        <v>174</v>
      </c>
      <c r="G514" t="s">
        <v>68</v>
      </c>
    </row>
    <row r="518" spans="1:9" x14ac:dyDescent="0.35">
      <c r="A518" s="1" t="s">
        <v>2</v>
      </c>
      <c r="B518" t="s">
        <v>242</v>
      </c>
      <c r="C518" s="2"/>
      <c r="D518" s="2"/>
      <c r="E518" s="2"/>
      <c r="F518" s="2"/>
      <c r="G518" s="2"/>
      <c r="H518" s="2"/>
      <c r="I518" s="2"/>
    </row>
    <row r="519" spans="1:9" x14ac:dyDescent="0.35">
      <c r="A519" s="3" t="s">
        <v>3</v>
      </c>
      <c r="B519" t="s">
        <v>241</v>
      </c>
    </row>
    <row r="520" spans="1:9" x14ac:dyDescent="0.35">
      <c r="A520" s="4" t="s">
        <v>4</v>
      </c>
      <c r="B520" s="5" t="s">
        <v>5</v>
      </c>
      <c r="C520" s="5"/>
      <c r="D520" s="5"/>
      <c r="E520" s="5"/>
      <c r="F520" s="5"/>
      <c r="G520" s="5"/>
      <c r="H520" s="5"/>
      <c r="I520" s="5"/>
    </row>
    <row r="521" spans="1:9" x14ac:dyDescent="0.35">
      <c r="A521" s="4" t="s">
        <v>6</v>
      </c>
      <c r="B521" s="6">
        <v>1</v>
      </c>
      <c r="C521" s="5"/>
      <c r="D521" s="5"/>
      <c r="E521" s="5"/>
      <c r="F521" s="5"/>
      <c r="G521" s="5"/>
      <c r="H521" s="5"/>
      <c r="I521" s="5"/>
    </row>
    <row r="522" spans="1:9" x14ac:dyDescent="0.35">
      <c r="A522" s="4" t="s">
        <v>7</v>
      </c>
      <c r="B522" s="5" t="s">
        <v>8</v>
      </c>
      <c r="C522" s="5"/>
      <c r="D522" s="5"/>
      <c r="E522" s="5"/>
      <c r="F522" s="5"/>
      <c r="G522" s="5"/>
      <c r="H522" s="5"/>
      <c r="I522" s="5"/>
    </row>
    <row r="524" spans="1:9" x14ac:dyDescent="0.35">
      <c r="A524" s="3" t="s">
        <v>9</v>
      </c>
    </row>
    <row r="525" spans="1:9" x14ac:dyDescent="0.35">
      <c r="A525" s="3" t="s">
        <v>10</v>
      </c>
      <c r="B525" s="3" t="s">
        <v>11</v>
      </c>
      <c r="C525" s="3" t="s">
        <v>7</v>
      </c>
      <c r="D525" s="8" t="s">
        <v>12</v>
      </c>
      <c r="E525" s="3" t="s">
        <v>4</v>
      </c>
      <c r="F525" s="3" t="s">
        <v>13</v>
      </c>
      <c r="G525" s="3" t="s">
        <v>14</v>
      </c>
      <c r="H525" s="3" t="s">
        <v>15</v>
      </c>
      <c r="I525" t="s">
        <v>3</v>
      </c>
    </row>
    <row r="526" spans="1:9" x14ac:dyDescent="0.35">
      <c r="A526" t="str">
        <f>B518</f>
        <v>Landfill_lachute_WARM</v>
      </c>
      <c r="B526" t="s">
        <v>16</v>
      </c>
      <c r="C526" t="s">
        <v>8</v>
      </c>
      <c r="D526" s="12">
        <v>1</v>
      </c>
      <c r="E526" t="s">
        <v>5</v>
      </c>
      <c r="F526" t="str">
        <f>$B$1</f>
        <v>OWM Facilities</v>
      </c>
      <c r="G526" t="s">
        <v>17</v>
      </c>
    </row>
    <row r="527" spans="1:9" x14ac:dyDescent="0.35">
      <c r="A527" t="s">
        <v>45</v>
      </c>
      <c r="B527" t="s">
        <v>46</v>
      </c>
      <c r="C527" t="s">
        <v>44</v>
      </c>
      <c r="D527" s="13">
        <f>Transportation!B7</f>
        <v>77.400000000000006</v>
      </c>
      <c r="E527" t="s">
        <v>47</v>
      </c>
      <c r="F527" s="20" t="s">
        <v>174</v>
      </c>
      <c r="G527" t="s">
        <v>19</v>
      </c>
    </row>
    <row r="528" spans="1:9" x14ac:dyDescent="0.35">
      <c r="A528" t="s">
        <v>182</v>
      </c>
      <c r="B528" t="s">
        <v>183</v>
      </c>
      <c r="C528" t="s">
        <v>54</v>
      </c>
      <c r="D528">
        <v>5.276331364752</v>
      </c>
      <c r="E528" t="s">
        <v>50</v>
      </c>
      <c r="F528" s="20" t="s">
        <v>174</v>
      </c>
      <c r="G528" t="s">
        <v>19</v>
      </c>
      <c r="I528" t="s">
        <v>37</v>
      </c>
    </row>
    <row r="529" spans="1:9" x14ac:dyDescent="0.35">
      <c r="A529" t="s">
        <v>122</v>
      </c>
      <c r="C529" t="s">
        <v>54</v>
      </c>
      <c r="D529" s="13">
        <v>73.246092677999997</v>
      </c>
      <c r="F529" s="20" t="s">
        <v>175</v>
      </c>
      <c r="G529" t="s">
        <v>60</v>
      </c>
      <c r="H529" t="s">
        <v>169</v>
      </c>
    </row>
    <row r="530" spans="1:9" x14ac:dyDescent="0.35">
      <c r="A530" t="s">
        <v>67</v>
      </c>
      <c r="C530" t="s">
        <v>54</v>
      </c>
      <c r="D530">
        <v>14.496811506</v>
      </c>
      <c r="F530" s="20" t="s">
        <v>175</v>
      </c>
      <c r="G530" t="s">
        <v>60</v>
      </c>
      <c r="H530" t="s">
        <v>61</v>
      </c>
    </row>
    <row r="531" spans="1:9" x14ac:dyDescent="0.35">
      <c r="A531" t="s">
        <v>34</v>
      </c>
      <c r="B531" t="s">
        <v>35</v>
      </c>
      <c r="C531" t="s">
        <v>36</v>
      </c>
      <c r="D531">
        <v>80.908165582352993</v>
      </c>
      <c r="E531" t="s">
        <v>5</v>
      </c>
      <c r="F531" s="20" t="s">
        <v>174</v>
      </c>
      <c r="G531" t="str">
        <f>G514</f>
        <v>substitution</v>
      </c>
    </row>
    <row r="534" spans="1:9" x14ac:dyDescent="0.35">
      <c r="A534" s="1" t="s">
        <v>2</v>
      </c>
      <c r="B534" t="s">
        <v>245</v>
      </c>
      <c r="C534" s="2"/>
      <c r="D534" s="2"/>
      <c r="E534" s="2"/>
      <c r="F534" s="2"/>
      <c r="G534" s="2"/>
      <c r="H534" s="2"/>
      <c r="I534" s="2"/>
    </row>
    <row r="535" spans="1:9" x14ac:dyDescent="0.35">
      <c r="A535" s="3" t="s">
        <v>3</v>
      </c>
      <c r="B535" t="s">
        <v>240</v>
      </c>
    </row>
    <row r="536" spans="1:9" x14ac:dyDescent="0.35">
      <c r="A536" s="4" t="s">
        <v>4</v>
      </c>
      <c r="B536" s="5" t="s">
        <v>5</v>
      </c>
      <c r="C536" s="5"/>
      <c r="D536" s="5"/>
      <c r="E536" s="5"/>
      <c r="F536" s="5"/>
      <c r="G536" s="5"/>
      <c r="H536" s="5"/>
      <c r="I536" s="5"/>
    </row>
    <row r="537" spans="1:9" x14ac:dyDescent="0.35">
      <c r="A537" s="4" t="s">
        <v>6</v>
      </c>
      <c r="B537" s="6">
        <v>1</v>
      </c>
      <c r="C537" s="5"/>
      <c r="D537" s="5"/>
      <c r="E537" s="5"/>
      <c r="F537" s="5"/>
      <c r="G537" s="5"/>
      <c r="H537" s="5"/>
      <c r="I537" s="5"/>
    </row>
    <row r="538" spans="1:9" x14ac:dyDescent="0.35">
      <c r="A538" s="4" t="s">
        <v>7</v>
      </c>
      <c r="B538" s="5" t="s">
        <v>8</v>
      </c>
      <c r="C538" s="5"/>
      <c r="D538" s="5"/>
      <c r="E538" s="5"/>
      <c r="F538" s="5"/>
      <c r="G538" s="5"/>
      <c r="H538" s="5"/>
      <c r="I538" s="5"/>
    </row>
    <row r="540" spans="1:9" x14ac:dyDescent="0.35">
      <c r="A540" s="3" t="s">
        <v>9</v>
      </c>
    </row>
    <row r="541" spans="1:9" x14ac:dyDescent="0.35">
      <c r="A541" s="3" t="s">
        <v>10</v>
      </c>
      <c r="B541" s="3" t="s">
        <v>11</v>
      </c>
      <c r="C541" s="3" t="s">
        <v>7</v>
      </c>
      <c r="D541" s="8" t="s">
        <v>12</v>
      </c>
      <c r="E541" s="3" t="s">
        <v>4</v>
      </c>
      <c r="F541" s="3" t="s">
        <v>13</v>
      </c>
      <c r="G541" s="3" t="s">
        <v>14</v>
      </c>
      <c r="H541" s="3" t="s">
        <v>15</v>
      </c>
      <c r="I541" t="s">
        <v>3</v>
      </c>
    </row>
    <row r="542" spans="1:9" x14ac:dyDescent="0.35">
      <c r="A542" t="str">
        <f>B534</f>
        <v>Landfill_saint_thomas_WARM</v>
      </c>
      <c r="B542" t="s">
        <v>16</v>
      </c>
      <c r="C542" t="s">
        <v>8</v>
      </c>
      <c r="D542" s="12">
        <v>1</v>
      </c>
      <c r="E542" t="s">
        <v>5</v>
      </c>
      <c r="F542" t="str">
        <f>$B$1</f>
        <v>OWM Facilities</v>
      </c>
      <c r="G542" t="s">
        <v>17</v>
      </c>
    </row>
    <row r="543" spans="1:9" x14ac:dyDescent="0.35">
      <c r="A543" t="s">
        <v>45</v>
      </c>
      <c r="B543" t="s">
        <v>46</v>
      </c>
      <c r="C543" t="s">
        <v>44</v>
      </c>
      <c r="D543" s="13">
        <f>Transportation!B6</f>
        <v>74</v>
      </c>
      <c r="E543" t="s">
        <v>47</v>
      </c>
      <c r="F543" s="20" t="s">
        <v>174</v>
      </c>
      <c r="G543" t="s">
        <v>19</v>
      </c>
    </row>
    <row r="544" spans="1:9" x14ac:dyDescent="0.35">
      <c r="A544" t="s">
        <v>182</v>
      </c>
      <c r="B544" t="s">
        <v>183</v>
      </c>
      <c r="C544" t="s">
        <v>54</v>
      </c>
      <c r="D544">
        <f>D528</f>
        <v>5.276331364752</v>
      </c>
      <c r="E544" t="s">
        <v>50</v>
      </c>
      <c r="F544" s="20" t="s">
        <v>174</v>
      </c>
      <c r="G544" t="s">
        <v>19</v>
      </c>
      <c r="I544" t="s">
        <v>37</v>
      </c>
    </row>
    <row r="545" spans="1:9" x14ac:dyDescent="0.35">
      <c r="A545" t="s">
        <v>122</v>
      </c>
      <c r="C545" t="s">
        <v>54</v>
      </c>
      <c r="D545" s="13">
        <f>D529</f>
        <v>73.246092677999997</v>
      </c>
      <c r="F545" s="20" t="s">
        <v>175</v>
      </c>
      <c r="G545" t="s">
        <v>60</v>
      </c>
      <c r="H545" t="s">
        <v>169</v>
      </c>
    </row>
    <row r="546" spans="1:9" x14ac:dyDescent="0.35">
      <c r="A546" t="s">
        <v>67</v>
      </c>
      <c r="C546" t="s">
        <v>54</v>
      </c>
      <c r="D546">
        <f>D530</f>
        <v>14.496811506</v>
      </c>
      <c r="F546" s="20" t="s">
        <v>175</v>
      </c>
      <c r="G546" t="s">
        <v>60</v>
      </c>
      <c r="H546" t="s">
        <v>61</v>
      </c>
    </row>
    <row r="547" spans="1:9" x14ac:dyDescent="0.35">
      <c r="A547" t="s">
        <v>171</v>
      </c>
      <c r="B547" t="s">
        <v>170</v>
      </c>
      <c r="C547" t="s">
        <v>57</v>
      </c>
      <c r="D547">
        <f>'Comparing models'!D25</f>
        <v>109.57129105566415</v>
      </c>
      <c r="E547" t="s">
        <v>178</v>
      </c>
      <c r="F547" s="20" t="s">
        <v>174</v>
      </c>
      <c r="G547" t="s">
        <v>68</v>
      </c>
    </row>
    <row r="550" spans="1:9" x14ac:dyDescent="0.35">
      <c r="A550" s="1" t="s">
        <v>2</v>
      </c>
      <c r="B550" t="s">
        <v>246</v>
      </c>
      <c r="C550" s="2"/>
      <c r="D550" s="2"/>
      <c r="E550" s="2"/>
      <c r="F550" s="2"/>
      <c r="G550" s="2"/>
      <c r="H550" s="2"/>
      <c r="I550" s="2"/>
    </row>
    <row r="551" spans="1:9" x14ac:dyDescent="0.35">
      <c r="A551" s="3" t="s">
        <v>3</v>
      </c>
      <c r="B551" t="s">
        <v>240</v>
      </c>
    </row>
    <row r="552" spans="1:9" x14ac:dyDescent="0.35">
      <c r="A552" s="4" t="s">
        <v>4</v>
      </c>
      <c r="B552" s="5" t="s">
        <v>5</v>
      </c>
      <c r="C552" s="5"/>
      <c r="D552" s="5"/>
      <c r="E552" s="5"/>
      <c r="F552" s="5"/>
      <c r="G552" s="5"/>
      <c r="H552" s="5"/>
      <c r="I552" s="5"/>
    </row>
    <row r="553" spans="1:9" x14ac:dyDescent="0.35">
      <c r="A553" s="4" t="s">
        <v>6</v>
      </c>
      <c r="B553" s="6">
        <v>1</v>
      </c>
      <c r="C553" s="5"/>
      <c r="D553" s="5"/>
      <c r="E553" s="5"/>
      <c r="F553" s="5"/>
      <c r="G553" s="5"/>
      <c r="H553" s="5"/>
      <c r="I553" s="5"/>
    </row>
    <row r="554" spans="1:9" x14ac:dyDescent="0.35">
      <c r="A554" s="4" t="s">
        <v>7</v>
      </c>
      <c r="B554" s="5" t="s">
        <v>8</v>
      </c>
      <c r="C554" s="5"/>
      <c r="D554" s="5"/>
      <c r="E554" s="5"/>
      <c r="F554" s="5"/>
      <c r="G554" s="5"/>
      <c r="H554" s="5"/>
      <c r="I554" s="5"/>
    </row>
    <row r="556" spans="1:9" x14ac:dyDescent="0.35">
      <c r="A556" s="3" t="s">
        <v>9</v>
      </c>
    </row>
    <row r="557" spans="1:9" x14ac:dyDescent="0.35">
      <c r="A557" s="3" t="s">
        <v>10</v>
      </c>
      <c r="B557" s="3" t="s">
        <v>11</v>
      </c>
      <c r="C557" s="3" t="s">
        <v>7</v>
      </c>
      <c r="D557" s="8" t="s">
        <v>12</v>
      </c>
      <c r="E557" s="3" t="s">
        <v>4</v>
      </c>
      <c r="F557" s="3" t="s">
        <v>13</v>
      </c>
      <c r="G557" s="3" t="s">
        <v>14</v>
      </c>
      <c r="H557" s="3" t="s">
        <v>15</v>
      </c>
      <c r="I557" t="s">
        <v>3</v>
      </c>
    </row>
    <row r="558" spans="1:9" x14ac:dyDescent="0.35">
      <c r="A558" t="str">
        <f>B550</f>
        <v>Landfill_terrebonne_WARM</v>
      </c>
      <c r="B558" t="s">
        <v>16</v>
      </c>
      <c r="C558" t="s">
        <v>8</v>
      </c>
      <c r="D558" s="12">
        <v>1</v>
      </c>
      <c r="E558" t="s">
        <v>5</v>
      </c>
      <c r="F558" t="str">
        <f>$B$1</f>
        <v>OWM Facilities</v>
      </c>
      <c r="G558" t="s">
        <v>17</v>
      </c>
    </row>
    <row r="559" spans="1:9" x14ac:dyDescent="0.35">
      <c r="A559" t="s">
        <v>45</v>
      </c>
      <c r="B559" t="s">
        <v>46</v>
      </c>
      <c r="C559" t="s">
        <v>44</v>
      </c>
      <c r="D559" s="13">
        <f>Transportation!B5</f>
        <v>32</v>
      </c>
      <c r="E559" t="s">
        <v>47</v>
      </c>
      <c r="F559" s="20" t="s">
        <v>174</v>
      </c>
      <c r="G559" t="s">
        <v>19</v>
      </c>
    </row>
    <row r="560" spans="1:9" x14ac:dyDescent="0.35">
      <c r="A560" t="s">
        <v>182</v>
      </c>
      <c r="B560" t="s">
        <v>183</v>
      </c>
      <c r="C560" t="s">
        <v>54</v>
      </c>
      <c r="D560">
        <v>5.276331364752</v>
      </c>
      <c r="E560" t="s">
        <v>50</v>
      </c>
      <c r="F560" s="20" t="s">
        <v>174</v>
      </c>
      <c r="G560" t="s">
        <v>19</v>
      </c>
      <c r="I560" t="s">
        <v>37</v>
      </c>
    </row>
    <row r="561" spans="1:9" x14ac:dyDescent="0.35">
      <c r="A561" t="s">
        <v>122</v>
      </c>
      <c r="C561" t="s">
        <v>54</v>
      </c>
      <c r="D561" s="13">
        <v>73.246092677999997</v>
      </c>
      <c r="F561" s="20" t="s">
        <v>175</v>
      </c>
      <c r="G561" t="s">
        <v>60</v>
      </c>
      <c r="H561" t="s">
        <v>169</v>
      </c>
    </row>
    <row r="562" spans="1:9" x14ac:dyDescent="0.35">
      <c r="A562" t="s">
        <v>67</v>
      </c>
      <c r="C562" t="s">
        <v>54</v>
      </c>
      <c r="D562">
        <v>14.496811506</v>
      </c>
      <c r="F562" s="20" t="s">
        <v>175</v>
      </c>
      <c r="G562" t="s">
        <v>60</v>
      </c>
      <c r="H562" t="s">
        <v>61</v>
      </c>
    </row>
    <row r="563" spans="1:9" x14ac:dyDescent="0.35">
      <c r="A563" t="s">
        <v>171</v>
      </c>
      <c r="B563" t="s">
        <v>170</v>
      </c>
      <c r="C563" t="s">
        <v>57</v>
      </c>
      <c r="D563">
        <v>109.57129105566415</v>
      </c>
      <c r="E563" t="s">
        <v>178</v>
      </c>
      <c r="F563" s="20" t="s">
        <v>174</v>
      </c>
      <c r="G563" t="s">
        <v>68</v>
      </c>
    </row>
    <row r="566" spans="1:9" x14ac:dyDescent="0.35">
      <c r="F566" s="20"/>
    </row>
    <row r="569" spans="1:9" x14ac:dyDescent="0.35">
      <c r="A569" s="1" t="s">
        <v>2</v>
      </c>
      <c r="B569" t="s">
        <v>247</v>
      </c>
      <c r="C569" s="2"/>
      <c r="D569" s="2"/>
      <c r="E569" s="2"/>
      <c r="F569" s="2"/>
      <c r="G569" s="2"/>
      <c r="H569" s="2"/>
      <c r="I569" s="2"/>
    </row>
    <row r="570" spans="1:9" x14ac:dyDescent="0.35">
      <c r="A570" s="3" t="s">
        <v>3</v>
      </c>
      <c r="B570" t="s">
        <v>240</v>
      </c>
    </row>
    <row r="571" spans="1:9" x14ac:dyDescent="0.35">
      <c r="A571" s="4" t="s">
        <v>4</v>
      </c>
      <c r="B571" s="5" t="s">
        <v>5</v>
      </c>
      <c r="C571" s="5"/>
      <c r="D571" s="5"/>
      <c r="E571" s="5"/>
      <c r="F571" s="5"/>
      <c r="G571" s="5"/>
      <c r="H571" s="5"/>
      <c r="I571" s="5"/>
    </row>
    <row r="572" spans="1:9" x14ac:dyDescent="0.35">
      <c r="A572" s="4" t="s">
        <v>6</v>
      </c>
      <c r="B572" s="6">
        <v>1</v>
      </c>
      <c r="C572" s="5"/>
      <c r="D572" s="5"/>
      <c r="E572" s="5"/>
      <c r="F572" s="5"/>
      <c r="G572" s="5"/>
      <c r="H572" s="5"/>
      <c r="I572" s="5"/>
    </row>
    <row r="573" spans="1:9" x14ac:dyDescent="0.35">
      <c r="A573" s="4" t="s">
        <v>7</v>
      </c>
      <c r="B573" s="5" t="s">
        <v>8</v>
      </c>
      <c r="C573" s="5"/>
      <c r="D573" s="5"/>
      <c r="E573" s="5"/>
      <c r="F573" s="5"/>
      <c r="G573" s="5"/>
      <c r="H573" s="5"/>
      <c r="I573" s="5"/>
    </row>
    <row r="575" spans="1:9" x14ac:dyDescent="0.35">
      <c r="A575" s="3" t="s">
        <v>9</v>
      </c>
    </row>
    <row r="576" spans="1:9" x14ac:dyDescent="0.35">
      <c r="A576" s="3" t="s">
        <v>10</v>
      </c>
      <c r="B576" s="3" t="s">
        <v>11</v>
      </c>
      <c r="C576" s="3" t="s">
        <v>7</v>
      </c>
      <c r="D576" s="8" t="s">
        <v>12</v>
      </c>
      <c r="E576" s="3" t="s">
        <v>4</v>
      </c>
      <c r="F576" s="3" t="s">
        <v>13</v>
      </c>
      <c r="G576" s="3" t="s">
        <v>14</v>
      </c>
      <c r="H576" s="3" t="s">
        <v>15</v>
      </c>
      <c r="I576" t="s">
        <v>3</v>
      </c>
    </row>
    <row r="577" spans="1:9" x14ac:dyDescent="0.35">
      <c r="A577" t="str">
        <f>B569</f>
        <v>Landfill_saint_sophie_WARM</v>
      </c>
      <c r="B577" t="s">
        <v>16</v>
      </c>
      <c r="C577" t="s">
        <v>8</v>
      </c>
      <c r="D577" s="12">
        <v>1</v>
      </c>
      <c r="E577" t="s">
        <v>5</v>
      </c>
      <c r="F577" t="str">
        <f>$B$1</f>
        <v>OWM Facilities</v>
      </c>
      <c r="G577" t="s">
        <v>17</v>
      </c>
    </row>
    <row r="578" spans="1:9" x14ac:dyDescent="0.35">
      <c r="A578" t="s">
        <v>45</v>
      </c>
      <c r="B578" t="s">
        <v>46</v>
      </c>
      <c r="C578" t="s">
        <v>44</v>
      </c>
      <c r="D578" s="13">
        <f>Transportation!B4</f>
        <v>45</v>
      </c>
      <c r="E578" t="s">
        <v>47</v>
      </c>
      <c r="F578" s="20" t="s">
        <v>174</v>
      </c>
      <c r="G578" t="s">
        <v>19</v>
      </c>
    </row>
    <row r="579" spans="1:9" x14ac:dyDescent="0.35">
      <c r="A579" t="s">
        <v>182</v>
      </c>
      <c r="B579" t="s">
        <v>183</v>
      </c>
      <c r="C579" t="s">
        <v>54</v>
      </c>
      <c r="D579">
        <v>5.276331364752</v>
      </c>
      <c r="E579" t="s">
        <v>50</v>
      </c>
      <c r="F579" s="20" t="s">
        <v>174</v>
      </c>
      <c r="G579" t="s">
        <v>19</v>
      </c>
      <c r="I579" t="s">
        <v>37</v>
      </c>
    </row>
    <row r="580" spans="1:9" x14ac:dyDescent="0.35">
      <c r="A580" t="s">
        <v>122</v>
      </c>
      <c r="C580" t="s">
        <v>54</v>
      </c>
      <c r="D580" s="13">
        <v>73.246092677999997</v>
      </c>
      <c r="F580" s="20" t="s">
        <v>175</v>
      </c>
      <c r="G580" t="s">
        <v>60</v>
      </c>
      <c r="H580" t="s">
        <v>169</v>
      </c>
    </row>
    <row r="581" spans="1:9" x14ac:dyDescent="0.35">
      <c r="A581" t="s">
        <v>67</v>
      </c>
      <c r="C581" t="s">
        <v>54</v>
      </c>
      <c r="D581">
        <v>14.496811506</v>
      </c>
      <c r="F581" s="20" t="s">
        <v>175</v>
      </c>
      <c r="G581" t="s">
        <v>60</v>
      </c>
      <c r="H581" t="s">
        <v>61</v>
      </c>
    </row>
    <row r="582" spans="1:9" x14ac:dyDescent="0.35">
      <c r="A582" t="s">
        <v>171</v>
      </c>
      <c r="B582" t="s">
        <v>170</v>
      </c>
      <c r="C582" t="s">
        <v>57</v>
      </c>
      <c r="D582">
        <v>109.57129105566415</v>
      </c>
      <c r="E582" t="s">
        <v>178</v>
      </c>
      <c r="F582" s="20" t="s">
        <v>174</v>
      </c>
      <c r="G582" t="s">
        <v>68</v>
      </c>
    </row>
    <row r="585" spans="1:9" x14ac:dyDescent="0.35">
      <c r="A585" s="29" t="s">
        <v>2</v>
      </c>
      <c r="B585" s="29" t="s">
        <v>259</v>
      </c>
      <c r="C585" s="15"/>
      <c r="D585" s="15"/>
      <c r="E585" s="15"/>
      <c r="F585" s="15"/>
      <c r="G585" s="15"/>
      <c r="H585" s="15"/>
      <c r="I585" s="15"/>
    </row>
    <row r="586" spans="1:9" x14ac:dyDescent="0.35">
      <c r="A586" t="s">
        <v>3</v>
      </c>
      <c r="B586" t="s">
        <v>265</v>
      </c>
    </row>
    <row r="587" spans="1:9" x14ac:dyDescent="0.35">
      <c r="A587" t="s">
        <v>4</v>
      </c>
      <c r="B587" t="s">
        <v>5</v>
      </c>
    </row>
    <row r="588" spans="1:9" x14ac:dyDescent="0.35">
      <c r="A588" t="s">
        <v>6</v>
      </c>
      <c r="B588">
        <v>1</v>
      </c>
    </row>
    <row r="589" spans="1:9" x14ac:dyDescent="0.35">
      <c r="A589" t="s">
        <v>7</v>
      </c>
      <c r="B589" t="s">
        <v>8</v>
      </c>
    </row>
    <row r="591" spans="1:9" x14ac:dyDescent="0.35">
      <c r="A591" s="3" t="s">
        <v>9</v>
      </c>
      <c r="B591" s="3"/>
      <c r="C591" s="3"/>
      <c r="D591" s="3"/>
      <c r="E591" s="3"/>
      <c r="F591" s="3"/>
      <c r="G591" s="3"/>
      <c r="H591" s="3"/>
      <c r="I591" s="3"/>
    </row>
    <row r="592" spans="1:9" x14ac:dyDescent="0.35">
      <c r="A592" s="3" t="s">
        <v>10</v>
      </c>
      <c r="B592" s="3" t="s">
        <v>11</v>
      </c>
      <c r="C592" s="3" t="s">
        <v>7</v>
      </c>
      <c r="D592" s="3" t="s">
        <v>12</v>
      </c>
      <c r="E592" s="3" t="s">
        <v>4</v>
      </c>
      <c r="F592" s="3" t="s">
        <v>13</v>
      </c>
      <c r="G592" s="3" t="s">
        <v>14</v>
      </c>
      <c r="H592" s="3" t="s">
        <v>15</v>
      </c>
      <c r="I592" s="3" t="s">
        <v>3</v>
      </c>
    </row>
    <row r="593" spans="1:9" x14ac:dyDescent="0.35">
      <c r="A593" t="str">
        <f>B585</f>
        <v>Landfill_saint sophie_HOC</v>
      </c>
      <c r="B593" t="s">
        <v>16</v>
      </c>
      <c r="C593" t="s">
        <v>8</v>
      </c>
      <c r="D593">
        <v>1</v>
      </c>
      <c r="E593" t="s">
        <v>5</v>
      </c>
      <c r="F593" t="s">
        <v>176</v>
      </c>
      <c r="G593" t="s">
        <v>17</v>
      </c>
    </row>
    <row r="594" spans="1:9" x14ac:dyDescent="0.35">
      <c r="A594" t="s">
        <v>45</v>
      </c>
      <c r="B594" t="s">
        <v>46</v>
      </c>
      <c r="C594" t="s">
        <v>44</v>
      </c>
      <c r="D594">
        <f>Transportation!B4</f>
        <v>45</v>
      </c>
      <c r="E594" t="s">
        <v>47</v>
      </c>
      <c r="F594" t="s">
        <v>174</v>
      </c>
      <c r="G594" t="s">
        <v>19</v>
      </c>
    </row>
    <row r="595" spans="1:9" x14ac:dyDescent="0.35">
      <c r="A595" t="s">
        <v>182</v>
      </c>
      <c r="B595" t="s">
        <v>183</v>
      </c>
      <c r="C595" t="s">
        <v>54</v>
      </c>
      <c r="D595">
        <v>1.2233948675764872</v>
      </c>
      <c r="E595" t="s">
        <v>50</v>
      </c>
      <c r="F595" t="s">
        <v>174</v>
      </c>
      <c r="G595" t="s">
        <v>19</v>
      </c>
      <c r="I595" t="s">
        <v>37</v>
      </c>
    </row>
    <row r="596" spans="1:9" x14ac:dyDescent="0.35">
      <c r="A596" t="s">
        <v>67</v>
      </c>
      <c r="C596" t="s">
        <v>54</v>
      </c>
      <c r="D596">
        <v>4.1479948210718032</v>
      </c>
      <c r="F596" t="s">
        <v>175</v>
      </c>
      <c r="G596" t="s">
        <v>60</v>
      </c>
      <c r="H596" t="s">
        <v>61</v>
      </c>
    </row>
    <row r="597" spans="1:9" x14ac:dyDescent="0.35">
      <c r="A597" t="s">
        <v>171</v>
      </c>
      <c r="B597" t="s">
        <v>170</v>
      </c>
      <c r="C597" t="s">
        <v>57</v>
      </c>
      <c r="D597">
        <v>194.60358638579837</v>
      </c>
      <c r="E597" t="s">
        <v>178</v>
      </c>
      <c r="F597" t="s">
        <v>174</v>
      </c>
      <c r="G597" t="s">
        <v>68</v>
      </c>
    </row>
    <row r="598" spans="1:9" x14ac:dyDescent="0.35">
      <c r="A598" t="s">
        <v>65</v>
      </c>
      <c r="C598" t="s">
        <v>54</v>
      </c>
      <c r="D598">
        <v>9.23054210587319E-3</v>
      </c>
      <c r="F598" t="s">
        <v>175</v>
      </c>
      <c r="G598" t="s">
        <v>60</v>
      </c>
      <c r="H598" t="s">
        <v>61</v>
      </c>
      <c r="I598" t="s">
        <v>33</v>
      </c>
    </row>
    <row r="599" spans="1:9" x14ac:dyDescent="0.35">
      <c r="A599" t="s">
        <v>34</v>
      </c>
      <c r="B599" t="s">
        <v>35</v>
      </c>
      <c r="C599" t="s">
        <v>36</v>
      </c>
      <c r="D599">
        <v>64.423795878188926</v>
      </c>
      <c r="E599" t="s">
        <v>5</v>
      </c>
      <c r="F599" t="s">
        <v>174</v>
      </c>
      <c r="G599" t="s">
        <v>19</v>
      </c>
    </row>
    <row r="600" spans="1:9" x14ac:dyDescent="0.35">
      <c r="A600" t="s">
        <v>64</v>
      </c>
      <c r="C600" t="s">
        <v>54</v>
      </c>
      <c r="D600">
        <v>38.489348387191299</v>
      </c>
      <c r="F600" t="s">
        <v>175</v>
      </c>
      <c r="G600" t="s">
        <v>60</v>
      </c>
      <c r="H600" t="s">
        <v>61</v>
      </c>
      <c r="I600" t="s">
        <v>33</v>
      </c>
    </row>
    <row r="601" spans="1:9" x14ac:dyDescent="0.35">
      <c r="A601" t="s">
        <v>177</v>
      </c>
      <c r="B601" t="s">
        <v>56</v>
      </c>
      <c r="C601" t="s">
        <v>57</v>
      </c>
      <c r="D601">
        <v>-2.2979659065951594</v>
      </c>
      <c r="E601" t="s">
        <v>5</v>
      </c>
      <c r="F601" t="s">
        <v>174</v>
      </c>
      <c r="G601" t="s">
        <v>19</v>
      </c>
    </row>
    <row r="602" spans="1:9" x14ac:dyDescent="0.35">
      <c r="A602" s="3" t="s">
        <v>2</v>
      </c>
      <c r="B602" s="3" t="s">
        <v>260</v>
      </c>
    </row>
    <row r="603" spans="1:9" x14ac:dyDescent="0.35">
      <c r="A603" t="s">
        <v>3</v>
      </c>
      <c r="B603" t="s">
        <v>265</v>
      </c>
    </row>
    <row r="604" spans="1:9" x14ac:dyDescent="0.35">
      <c r="A604" t="s">
        <v>4</v>
      </c>
      <c r="B604" t="s">
        <v>5</v>
      </c>
    </row>
    <row r="605" spans="1:9" x14ac:dyDescent="0.35">
      <c r="A605" t="s">
        <v>6</v>
      </c>
      <c r="B605">
        <v>1</v>
      </c>
    </row>
    <row r="606" spans="1:9" x14ac:dyDescent="0.35">
      <c r="A606" t="s">
        <v>7</v>
      </c>
      <c r="B606" t="s">
        <v>8</v>
      </c>
    </row>
    <row r="608" spans="1:9" x14ac:dyDescent="0.35">
      <c r="A608" s="3" t="s">
        <v>9</v>
      </c>
      <c r="B608" s="3"/>
      <c r="C608" s="3"/>
      <c r="D608" s="3"/>
      <c r="E608" s="3"/>
      <c r="F608" s="3"/>
      <c r="G608" s="3"/>
      <c r="H608" s="3"/>
      <c r="I608" s="3"/>
    </row>
    <row r="609" spans="1:9" x14ac:dyDescent="0.35">
      <c r="A609" s="3" t="s">
        <v>10</v>
      </c>
      <c r="B609" s="3" t="s">
        <v>11</v>
      </c>
      <c r="C609" s="3" t="s">
        <v>7</v>
      </c>
      <c r="D609" s="3" t="s">
        <v>12</v>
      </c>
      <c r="E609" s="3" t="s">
        <v>4</v>
      </c>
      <c r="F609" s="3" t="s">
        <v>13</v>
      </c>
      <c r="G609" s="3" t="s">
        <v>14</v>
      </c>
      <c r="H609" s="3" t="s">
        <v>15</v>
      </c>
      <c r="I609" s="3" t="s">
        <v>3</v>
      </c>
    </row>
    <row r="610" spans="1:9" x14ac:dyDescent="0.35">
      <c r="A610" t="str">
        <f>B602</f>
        <v>Landfill_terrebonne_HOC</v>
      </c>
      <c r="B610" t="s">
        <v>16</v>
      </c>
      <c r="C610" t="s">
        <v>8</v>
      </c>
      <c r="D610">
        <v>1</v>
      </c>
      <c r="E610" t="s">
        <v>5</v>
      </c>
      <c r="F610" t="s">
        <v>176</v>
      </c>
      <c r="G610" t="s">
        <v>17</v>
      </c>
    </row>
    <row r="611" spans="1:9" x14ac:dyDescent="0.35">
      <c r="A611" t="s">
        <v>45</v>
      </c>
      <c r="B611" t="s">
        <v>46</v>
      </c>
      <c r="C611" t="s">
        <v>44</v>
      </c>
      <c r="D611">
        <f>Transportation!B5</f>
        <v>32</v>
      </c>
      <c r="E611" t="s">
        <v>47</v>
      </c>
      <c r="F611" t="s">
        <v>174</v>
      </c>
      <c r="G611" t="s">
        <v>19</v>
      </c>
    </row>
    <row r="612" spans="1:9" x14ac:dyDescent="0.35">
      <c r="A612" t="s">
        <v>182</v>
      </c>
      <c r="B612" t="s">
        <v>183</v>
      </c>
      <c r="C612" t="s">
        <v>54</v>
      </c>
      <c r="D612">
        <v>1.2233948675764872</v>
      </c>
      <c r="E612" t="s">
        <v>50</v>
      </c>
      <c r="F612" t="s">
        <v>174</v>
      </c>
      <c r="G612" t="s">
        <v>19</v>
      </c>
      <c r="I612" t="s">
        <v>37</v>
      </c>
    </row>
    <row r="613" spans="1:9" x14ac:dyDescent="0.35">
      <c r="A613" t="s">
        <v>67</v>
      </c>
      <c r="C613" t="s">
        <v>54</v>
      </c>
      <c r="D613">
        <v>4.1479948210718032</v>
      </c>
      <c r="F613" t="s">
        <v>175</v>
      </c>
      <c r="G613" t="s">
        <v>60</v>
      </c>
      <c r="H613" t="s">
        <v>61</v>
      </c>
    </row>
    <row r="614" spans="1:9" x14ac:dyDescent="0.35">
      <c r="A614" t="s">
        <v>171</v>
      </c>
      <c r="B614" t="s">
        <v>170</v>
      </c>
      <c r="C614" t="s">
        <v>57</v>
      </c>
      <c r="D614">
        <v>194.60358638579837</v>
      </c>
      <c r="E614" t="s">
        <v>178</v>
      </c>
      <c r="F614" t="s">
        <v>174</v>
      </c>
      <c r="G614" t="s">
        <v>68</v>
      </c>
    </row>
    <row r="615" spans="1:9" x14ac:dyDescent="0.35">
      <c r="A615" t="s">
        <v>65</v>
      </c>
      <c r="C615" t="s">
        <v>54</v>
      </c>
      <c r="D615">
        <v>9.23054210587319E-3</v>
      </c>
      <c r="F615" t="s">
        <v>175</v>
      </c>
      <c r="G615" t="s">
        <v>60</v>
      </c>
      <c r="H615" t="s">
        <v>61</v>
      </c>
      <c r="I615" t="s">
        <v>33</v>
      </c>
    </row>
    <row r="616" spans="1:9" x14ac:dyDescent="0.35">
      <c r="A616" t="s">
        <v>34</v>
      </c>
      <c r="B616" t="s">
        <v>35</v>
      </c>
      <c r="C616" t="s">
        <v>36</v>
      </c>
      <c r="D616">
        <v>64.423795878188926</v>
      </c>
      <c r="E616" t="s">
        <v>5</v>
      </c>
      <c r="F616" t="s">
        <v>174</v>
      </c>
      <c r="G616" t="s">
        <v>19</v>
      </c>
    </row>
    <row r="617" spans="1:9" x14ac:dyDescent="0.35">
      <c r="A617" t="s">
        <v>64</v>
      </c>
      <c r="C617" t="s">
        <v>54</v>
      </c>
      <c r="D617">
        <v>38.489348387191299</v>
      </c>
      <c r="F617" t="s">
        <v>175</v>
      </c>
      <c r="G617" t="s">
        <v>60</v>
      </c>
      <c r="H617" t="s">
        <v>61</v>
      </c>
      <c r="I617" t="s">
        <v>33</v>
      </c>
    </row>
    <row r="618" spans="1:9" x14ac:dyDescent="0.35">
      <c r="A618" t="s">
        <v>177</v>
      </c>
      <c r="B618" t="s">
        <v>56</v>
      </c>
      <c r="C618" t="s">
        <v>57</v>
      </c>
      <c r="D618">
        <v>-2.2979659065951594</v>
      </c>
      <c r="E618" t="s">
        <v>5</v>
      </c>
      <c r="F618" t="s">
        <v>174</v>
      </c>
      <c r="G618" t="s">
        <v>19</v>
      </c>
    </row>
    <row r="619" spans="1:9" x14ac:dyDescent="0.35">
      <c r="A619" s="3" t="s">
        <v>2</v>
      </c>
      <c r="B619" s="3" t="s">
        <v>261</v>
      </c>
    </row>
    <row r="620" spans="1:9" x14ac:dyDescent="0.35">
      <c r="A620" t="s">
        <v>3</v>
      </c>
      <c r="B620" t="s">
        <v>265</v>
      </c>
    </row>
    <row r="621" spans="1:9" x14ac:dyDescent="0.35">
      <c r="A621" t="s">
        <v>4</v>
      </c>
      <c r="B621" t="s">
        <v>5</v>
      </c>
    </row>
    <row r="622" spans="1:9" x14ac:dyDescent="0.35">
      <c r="A622" t="s">
        <v>6</v>
      </c>
      <c r="B622">
        <v>1</v>
      </c>
    </row>
    <row r="623" spans="1:9" x14ac:dyDescent="0.35">
      <c r="A623" t="s">
        <v>7</v>
      </c>
      <c r="B623" t="s">
        <v>8</v>
      </c>
    </row>
    <row r="625" spans="1:9" x14ac:dyDescent="0.35">
      <c r="A625" s="3" t="s">
        <v>9</v>
      </c>
      <c r="B625" s="3"/>
      <c r="C625" s="3"/>
      <c r="D625" s="3"/>
      <c r="E625" s="3"/>
      <c r="F625" s="3"/>
      <c r="G625" s="3"/>
      <c r="H625" s="3"/>
      <c r="I625" s="3"/>
    </row>
    <row r="626" spans="1:9" x14ac:dyDescent="0.35">
      <c r="A626" s="3" t="s">
        <v>10</v>
      </c>
      <c r="B626" s="3" t="s">
        <v>11</v>
      </c>
      <c r="C626" s="3" t="s">
        <v>7</v>
      </c>
      <c r="D626" s="3" t="s">
        <v>12</v>
      </c>
      <c r="E626" s="3" t="s">
        <v>4</v>
      </c>
      <c r="F626" s="3" t="s">
        <v>13</v>
      </c>
      <c r="G626" s="3" t="s">
        <v>14</v>
      </c>
      <c r="H626" s="3" t="s">
        <v>15</v>
      </c>
      <c r="I626" s="3" t="s">
        <v>3</v>
      </c>
    </row>
    <row r="627" spans="1:9" x14ac:dyDescent="0.35">
      <c r="A627" t="str">
        <f>B619</f>
        <v>Landfill_saint_thomas_HOC</v>
      </c>
      <c r="B627" t="s">
        <v>16</v>
      </c>
      <c r="C627" t="s">
        <v>8</v>
      </c>
      <c r="D627">
        <v>1</v>
      </c>
      <c r="E627" t="s">
        <v>5</v>
      </c>
      <c r="F627" t="s">
        <v>176</v>
      </c>
      <c r="G627" t="s">
        <v>17</v>
      </c>
    </row>
    <row r="628" spans="1:9" x14ac:dyDescent="0.35">
      <c r="A628" t="s">
        <v>45</v>
      </c>
      <c r="B628" t="s">
        <v>46</v>
      </c>
      <c r="C628" t="s">
        <v>44</v>
      </c>
      <c r="D628">
        <f>Transportation!B6</f>
        <v>74</v>
      </c>
      <c r="E628" t="s">
        <v>47</v>
      </c>
      <c r="F628" t="s">
        <v>174</v>
      </c>
      <c r="G628" t="s">
        <v>19</v>
      </c>
    </row>
    <row r="629" spans="1:9" x14ac:dyDescent="0.35">
      <c r="A629" t="s">
        <v>182</v>
      </c>
      <c r="B629" t="s">
        <v>183</v>
      </c>
      <c r="C629" t="s">
        <v>54</v>
      </c>
      <c r="D629">
        <v>1.2233948675764872</v>
      </c>
      <c r="E629" t="s">
        <v>50</v>
      </c>
      <c r="F629" t="s">
        <v>174</v>
      </c>
      <c r="G629" t="s">
        <v>19</v>
      </c>
      <c r="I629" t="s">
        <v>37</v>
      </c>
    </row>
    <row r="630" spans="1:9" x14ac:dyDescent="0.35">
      <c r="A630" t="s">
        <v>67</v>
      </c>
      <c r="C630" t="s">
        <v>54</v>
      </c>
      <c r="D630">
        <v>4.1479948210718032</v>
      </c>
      <c r="F630" t="s">
        <v>175</v>
      </c>
      <c r="G630" t="s">
        <v>60</v>
      </c>
      <c r="H630" t="s">
        <v>61</v>
      </c>
    </row>
    <row r="631" spans="1:9" x14ac:dyDescent="0.35">
      <c r="A631" t="s">
        <v>171</v>
      </c>
      <c r="B631" t="s">
        <v>170</v>
      </c>
      <c r="C631" t="s">
        <v>57</v>
      </c>
      <c r="D631">
        <v>194.60358638579837</v>
      </c>
      <c r="E631" t="s">
        <v>178</v>
      </c>
      <c r="F631" t="s">
        <v>174</v>
      </c>
      <c r="G631" t="s">
        <v>68</v>
      </c>
    </row>
    <row r="632" spans="1:9" x14ac:dyDescent="0.35">
      <c r="A632" t="s">
        <v>65</v>
      </c>
      <c r="C632" t="s">
        <v>54</v>
      </c>
      <c r="D632">
        <v>9.23054210587319E-3</v>
      </c>
      <c r="F632" t="s">
        <v>175</v>
      </c>
      <c r="G632" t="s">
        <v>60</v>
      </c>
      <c r="H632" t="s">
        <v>61</v>
      </c>
      <c r="I632" t="s">
        <v>33</v>
      </c>
    </row>
    <row r="633" spans="1:9" x14ac:dyDescent="0.35">
      <c r="A633" t="s">
        <v>34</v>
      </c>
      <c r="B633" t="s">
        <v>35</v>
      </c>
      <c r="C633" t="s">
        <v>36</v>
      </c>
      <c r="D633">
        <v>64.423795878188926</v>
      </c>
      <c r="E633" t="s">
        <v>5</v>
      </c>
      <c r="F633" t="s">
        <v>174</v>
      </c>
      <c r="G633" t="s">
        <v>19</v>
      </c>
    </row>
    <row r="634" spans="1:9" x14ac:dyDescent="0.35">
      <c r="A634" t="s">
        <v>64</v>
      </c>
      <c r="C634" t="s">
        <v>54</v>
      </c>
      <c r="D634">
        <v>38.489348387191299</v>
      </c>
      <c r="F634" t="s">
        <v>175</v>
      </c>
      <c r="G634" t="s">
        <v>60</v>
      </c>
      <c r="H634" t="s">
        <v>61</v>
      </c>
      <c r="I634" t="s">
        <v>33</v>
      </c>
    </row>
    <row r="635" spans="1:9" x14ac:dyDescent="0.35">
      <c r="A635" t="s">
        <v>177</v>
      </c>
      <c r="B635" t="s">
        <v>56</v>
      </c>
      <c r="C635" t="s">
        <v>57</v>
      </c>
      <c r="D635">
        <v>-2.2979659065951594</v>
      </c>
      <c r="E635" t="s">
        <v>5</v>
      </c>
      <c r="F635" t="s">
        <v>174</v>
      </c>
      <c r="G635" t="s">
        <v>19</v>
      </c>
    </row>
    <row r="637" spans="1:9" x14ac:dyDescent="0.35">
      <c r="A637" s="3"/>
      <c r="B637" s="3"/>
    </row>
    <row r="638" spans="1:9" x14ac:dyDescent="0.35">
      <c r="A638" s="3" t="s">
        <v>2</v>
      </c>
      <c r="B638" s="3" t="s">
        <v>262</v>
      </c>
    </row>
    <row r="639" spans="1:9" x14ac:dyDescent="0.35">
      <c r="A639" t="s">
        <v>3</v>
      </c>
      <c r="B639" t="s">
        <v>265</v>
      </c>
    </row>
    <row r="640" spans="1:9" x14ac:dyDescent="0.35">
      <c r="A640" t="s">
        <v>4</v>
      </c>
      <c r="B640" t="s">
        <v>5</v>
      </c>
    </row>
    <row r="641" spans="1:9" x14ac:dyDescent="0.35">
      <c r="A641" t="s">
        <v>6</v>
      </c>
      <c r="B641">
        <v>1</v>
      </c>
    </row>
    <row r="642" spans="1:9" x14ac:dyDescent="0.35">
      <c r="A642" t="s">
        <v>7</v>
      </c>
      <c r="B642" t="s">
        <v>8</v>
      </c>
    </row>
    <row r="644" spans="1:9" x14ac:dyDescent="0.35">
      <c r="A644" s="3" t="s">
        <v>9</v>
      </c>
      <c r="B644" s="3"/>
      <c r="C644" s="3"/>
      <c r="D644" s="3"/>
      <c r="E644" s="3"/>
      <c r="F644" s="3"/>
      <c r="G644" s="3"/>
      <c r="H644" s="3"/>
      <c r="I644" s="3"/>
    </row>
    <row r="645" spans="1:9" x14ac:dyDescent="0.35">
      <c r="A645" s="3" t="s">
        <v>10</v>
      </c>
      <c r="B645" s="3" t="s">
        <v>11</v>
      </c>
      <c r="C645" s="3" t="s">
        <v>7</v>
      </c>
      <c r="D645" s="3" t="s">
        <v>12</v>
      </c>
      <c r="E645" s="3" t="s">
        <v>4</v>
      </c>
      <c r="F645" s="3" t="s">
        <v>13</v>
      </c>
      <c r="G645" s="3" t="s">
        <v>14</v>
      </c>
      <c r="H645" s="3" t="s">
        <v>15</v>
      </c>
      <c r="I645" s="3" t="s">
        <v>3</v>
      </c>
    </row>
    <row r="646" spans="1:9" x14ac:dyDescent="0.35">
      <c r="A646" t="str">
        <f>B638</f>
        <v>Landfill_lachute_HOC</v>
      </c>
      <c r="B646" t="s">
        <v>16</v>
      </c>
      <c r="C646" t="s">
        <v>8</v>
      </c>
      <c r="D646">
        <v>1</v>
      </c>
      <c r="E646" t="s">
        <v>5</v>
      </c>
      <c r="F646" t="s">
        <v>176</v>
      </c>
      <c r="G646" t="s">
        <v>17</v>
      </c>
    </row>
    <row r="647" spans="1:9" x14ac:dyDescent="0.35">
      <c r="A647" t="s">
        <v>45</v>
      </c>
      <c r="B647" t="s">
        <v>46</v>
      </c>
      <c r="C647" t="s">
        <v>44</v>
      </c>
      <c r="D647">
        <f>Transportation!B7</f>
        <v>77.400000000000006</v>
      </c>
      <c r="E647" t="s">
        <v>47</v>
      </c>
      <c r="F647" t="s">
        <v>174</v>
      </c>
      <c r="G647" t="s">
        <v>19</v>
      </c>
    </row>
    <row r="648" spans="1:9" x14ac:dyDescent="0.35">
      <c r="A648" t="s">
        <v>182</v>
      </c>
      <c r="B648" t="s">
        <v>183</v>
      </c>
      <c r="C648" t="s">
        <v>54</v>
      </c>
      <c r="D648">
        <v>1.2233948675764872</v>
      </c>
      <c r="E648" t="s">
        <v>50</v>
      </c>
      <c r="F648" t="s">
        <v>174</v>
      </c>
      <c r="G648" t="s">
        <v>19</v>
      </c>
      <c r="I648" t="s">
        <v>37</v>
      </c>
    </row>
    <row r="649" spans="1:9" x14ac:dyDescent="0.35">
      <c r="A649" t="s">
        <v>67</v>
      </c>
      <c r="C649" t="s">
        <v>54</v>
      </c>
      <c r="D649">
        <v>4.1479948210718032</v>
      </c>
      <c r="F649" t="s">
        <v>175</v>
      </c>
      <c r="G649" t="s">
        <v>60</v>
      </c>
      <c r="H649" t="s">
        <v>61</v>
      </c>
    </row>
    <row r="650" spans="1:9" x14ac:dyDescent="0.35">
      <c r="A650" t="s">
        <v>34</v>
      </c>
      <c r="B650" t="s">
        <v>35</v>
      </c>
      <c r="C650" t="s">
        <v>36</v>
      </c>
      <c r="D650">
        <v>80.908165582352993</v>
      </c>
      <c r="E650" t="s">
        <v>5</v>
      </c>
      <c r="F650" t="s">
        <v>174</v>
      </c>
      <c r="G650" t="s">
        <v>68</v>
      </c>
    </row>
    <row r="651" spans="1:9" x14ac:dyDescent="0.35">
      <c r="A651" t="s">
        <v>65</v>
      </c>
      <c r="C651" t="s">
        <v>54</v>
      </c>
      <c r="D651">
        <v>9.23054210587319E-3</v>
      </c>
      <c r="F651" t="s">
        <v>175</v>
      </c>
      <c r="G651" t="s">
        <v>60</v>
      </c>
      <c r="H651" t="s">
        <v>61</v>
      </c>
      <c r="I651" t="s">
        <v>33</v>
      </c>
    </row>
    <row r="652" spans="1:9" x14ac:dyDescent="0.35">
      <c r="A652" t="s">
        <v>34</v>
      </c>
      <c r="B652" t="s">
        <v>35</v>
      </c>
      <c r="C652" t="s">
        <v>36</v>
      </c>
      <c r="D652">
        <v>64.423795878188926</v>
      </c>
      <c r="E652" t="s">
        <v>5</v>
      </c>
      <c r="F652" t="s">
        <v>174</v>
      </c>
      <c r="G652" t="s">
        <v>19</v>
      </c>
    </row>
    <row r="653" spans="1:9" x14ac:dyDescent="0.35">
      <c r="A653" t="s">
        <v>64</v>
      </c>
      <c r="C653" t="s">
        <v>54</v>
      </c>
      <c r="D653">
        <v>38.489348387191299</v>
      </c>
      <c r="F653" t="s">
        <v>175</v>
      </c>
      <c r="G653" t="s">
        <v>60</v>
      </c>
      <c r="H653" t="s">
        <v>61</v>
      </c>
      <c r="I653" t="s">
        <v>33</v>
      </c>
    </row>
    <row r="654" spans="1:9" x14ac:dyDescent="0.35">
      <c r="A654" t="s">
        <v>177</v>
      </c>
      <c r="B654" t="s">
        <v>56</v>
      </c>
      <c r="C654" t="s">
        <v>57</v>
      </c>
      <c r="D654">
        <v>-2.2979659065951594</v>
      </c>
      <c r="E654" t="s">
        <v>5</v>
      </c>
      <c r="F654" t="s">
        <v>174</v>
      </c>
      <c r="G654" t="s">
        <v>19</v>
      </c>
    </row>
    <row r="655" spans="1:9" x14ac:dyDescent="0.35">
      <c r="A655" s="3" t="s">
        <v>2</v>
      </c>
      <c r="B655" s="3" t="s">
        <v>263</v>
      </c>
    </row>
    <row r="656" spans="1:9" x14ac:dyDescent="0.35">
      <c r="A656" t="s">
        <v>3</v>
      </c>
      <c r="B656" t="s">
        <v>265</v>
      </c>
    </row>
    <row r="657" spans="1:9" x14ac:dyDescent="0.35">
      <c r="A657" t="s">
        <v>4</v>
      </c>
      <c r="B657" t="s">
        <v>5</v>
      </c>
    </row>
    <row r="658" spans="1:9" x14ac:dyDescent="0.35">
      <c r="A658" t="s">
        <v>6</v>
      </c>
      <c r="B658">
        <v>1</v>
      </c>
    </row>
    <row r="659" spans="1:9" x14ac:dyDescent="0.35">
      <c r="A659" t="s">
        <v>7</v>
      </c>
      <c r="B659" t="s">
        <v>8</v>
      </c>
    </row>
    <row r="661" spans="1:9" x14ac:dyDescent="0.35">
      <c r="A661" s="3" t="s">
        <v>9</v>
      </c>
      <c r="B661" s="3"/>
      <c r="C661" s="3"/>
      <c r="D661" s="3"/>
      <c r="E661" s="3"/>
      <c r="F661" s="3"/>
      <c r="G661" s="3"/>
      <c r="H661" s="3"/>
      <c r="I661" s="3"/>
    </row>
    <row r="662" spans="1:9" x14ac:dyDescent="0.35">
      <c r="A662" s="3" t="s">
        <v>10</v>
      </c>
      <c r="B662" s="3" t="s">
        <v>11</v>
      </c>
      <c r="C662" s="3" t="s">
        <v>7</v>
      </c>
      <c r="D662" s="3" t="s">
        <v>12</v>
      </c>
      <c r="E662" s="3" t="s">
        <v>4</v>
      </c>
      <c r="F662" s="3" t="s">
        <v>13</v>
      </c>
      <c r="G662" s="3" t="s">
        <v>14</v>
      </c>
      <c r="H662" s="3" t="s">
        <v>15</v>
      </c>
      <c r="I662" s="3" t="s">
        <v>3</v>
      </c>
    </row>
    <row r="663" spans="1:9" x14ac:dyDescent="0.35">
      <c r="A663" t="str">
        <f>B655</f>
        <v>Landfill_st-nicephore_HOC</v>
      </c>
      <c r="B663" t="s">
        <v>16</v>
      </c>
      <c r="C663" t="s">
        <v>8</v>
      </c>
      <c r="D663">
        <v>1</v>
      </c>
      <c r="E663" t="s">
        <v>5</v>
      </c>
      <c r="F663" t="s">
        <v>176</v>
      </c>
      <c r="G663" t="s">
        <v>17</v>
      </c>
    </row>
    <row r="664" spans="1:9" x14ac:dyDescent="0.35">
      <c r="A664" t="s">
        <v>45</v>
      </c>
      <c r="B664" t="s">
        <v>46</v>
      </c>
      <c r="C664" t="s">
        <v>44</v>
      </c>
      <c r="D664">
        <f>Transportation!B8</f>
        <v>123</v>
      </c>
      <c r="E664" t="s">
        <v>47</v>
      </c>
      <c r="F664" t="s">
        <v>174</v>
      </c>
      <c r="G664" t="s">
        <v>19</v>
      </c>
    </row>
    <row r="665" spans="1:9" x14ac:dyDescent="0.35">
      <c r="A665" t="s">
        <v>182</v>
      </c>
      <c r="B665" t="s">
        <v>183</v>
      </c>
      <c r="C665" t="s">
        <v>54</v>
      </c>
      <c r="D665">
        <v>1.2233948675764872</v>
      </c>
      <c r="E665" t="s">
        <v>50</v>
      </c>
      <c r="F665" t="s">
        <v>174</v>
      </c>
      <c r="G665" t="s">
        <v>19</v>
      </c>
      <c r="I665" t="s">
        <v>37</v>
      </c>
    </row>
    <row r="666" spans="1:9" x14ac:dyDescent="0.35">
      <c r="A666" t="s">
        <v>67</v>
      </c>
      <c r="C666" t="s">
        <v>54</v>
      </c>
      <c r="D666">
        <v>4.1479948210718032</v>
      </c>
      <c r="F666" t="s">
        <v>175</v>
      </c>
      <c r="G666" t="s">
        <v>60</v>
      </c>
      <c r="H666" t="s">
        <v>61</v>
      </c>
    </row>
    <row r="667" spans="1:9" x14ac:dyDescent="0.35">
      <c r="A667" t="s">
        <v>34</v>
      </c>
      <c r="B667" t="s">
        <v>35</v>
      </c>
      <c r="C667" t="s">
        <v>36</v>
      </c>
      <c r="D667">
        <v>80.908165582352993</v>
      </c>
      <c r="E667" t="s">
        <v>5</v>
      </c>
      <c r="F667" t="s">
        <v>174</v>
      </c>
      <c r="G667" t="s">
        <v>68</v>
      </c>
    </row>
    <row r="668" spans="1:9" x14ac:dyDescent="0.35">
      <c r="A668" t="s">
        <v>65</v>
      </c>
      <c r="C668" t="s">
        <v>54</v>
      </c>
      <c r="D668">
        <v>9.23054210587319E-3</v>
      </c>
      <c r="F668" t="s">
        <v>175</v>
      </c>
      <c r="G668" t="s">
        <v>60</v>
      </c>
      <c r="H668" t="s">
        <v>61</v>
      </c>
      <c r="I668" t="s">
        <v>33</v>
      </c>
    </row>
    <row r="669" spans="1:9" x14ac:dyDescent="0.35">
      <c r="A669" t="s">
        <v>34</v>
      </c>
      <c r="B669" t="s">
        <v>35</v>
      </c>
      <c r="C669" t="s">
        <v>36</v>
      </c>
      <c r="D669">
        <v>64.423795878188926</v>
      </c>
      <c r="E669" t="s">
        <v>5</v>
      </c>
      <c r="F669" t="s">
        <v>174</v>
      </c>
      <c r="G669" t="s">
        <v>19</v>
      </c>
    </row>
    <row r="670" spans="1:9" x14ac:dyDescent="0.35">
      <c r="A670" t="s">
        <v>64</v>
      </c>
      <c r="C670" t="s">
        <v>54</v>
      </c>
      <c r="D670">
        <v>38.489348387191299</v>
      </c>
      <c r="F670" t="s">
        <v>175</v>
      </c>
      <c r="G670" t="s">
        <v>60</v>
      </c>
      <c r="H670" t="s">
        <v>61</v>
      </c>
      <c r="I670" t="s">
        <v>33</v>
      </c>
    </row>
    <row r="671" spans="1:9" x14ac:dyDescent="0.35">
      <c r="A671" t="s">
        <v>177</v>
      </c>
      <c r="B671" t="s">
        <v>56</v>
      </c>
      <c r="C671" t="s">
        <v>57</v>
      </c>
      <c r="D671">
        <v>-2.2979659065951594</v>
      </c>
      <c r="E671" t="s">
        <v>5</v>
      </c>
      <c r="F671" t="s">
        <v>174</v>
      </c>
      <c r="G671" t="s">
        <v>19</v>
      </c>
    </row>
    <row r="672" spans="1:9" x14ac:dyDescent="0.35">
      <c r="A672" s="3" t="s">
        <v>2</v>
      </c>
      <c r="B672" s="3" t="s">
        <v>264</v>
      </c>
    </row>
    <row r="673" spans="1:9" x14ac:dyDescent="0.35">
      <c r="A673" t="s">
        <v>3</v>
      </c>
      <c r="B673" t="s">
        <v>265</v>
      </c>
    </row>
    <row r="674" spans="1:9" x14ac:dyDescent="0.35">
      <c r="A674" t="s">
        <v>4</v>
      </c>
      <c r="B674" t="s">
        <v>5</v>
      </c>
    </row>
    <row r="675" spans="1:9" x14ac:dyDescent="0.35">
      <c r="A675" t="s">
        <v>6</v>
      </c>
      <c r="B675">
        <v>1</v>
      </c>
    </row>
    <row r="676" spans="1:9" x14ac:dyDescent="0.35">
      <c r="A676" t="s">
        <v>7</v>
      </c>
      <c r="B676" t="s">
        <v>8</v>
      </c>
    </row>
    <row r="678" spans="1:9" x14ac:dyDescent="0.35">
      <c r="A678" s="3" t="s">
        <v>9</v>
      </c>
      <c r="B678" s="3"/>
      <c r="C678" s="3"/>
      <c r="D678" s="3"/>
      <c r="E678" s="3"/>
      <c r="F678" s="3"/>
      <c r="G678" s="3"/>
      <c r="H678" s="3"/>
      <c r="I678" s="3"/>
    </row>
    <row r="679" spans="1:9" x14ac:dyDescent="0.35">
      <c r="A679" s="3" t="s">
        <v>10</v>
      </c>
      <c r="B679" s="3" t="s">
        <v>11</v>
      </c>
      <c r="C679" s="3" t="s">
        <v>7</v>
      </c>
      <c r="D679" s="3" t="s">
        <v>12</v>
      </c>
      <c r="E679" s="3" t="s">
        <v>4</v>
      </c>
      <c r="F679" s="3" t="s">
        <v>13</v>
      </c>
      <c r="G679" s="3" t="s">
        <v>14</v>
      </c>
      <c r="H679" s="3" t="s">
        <v>15</v>
      </c>
      <c r="I679" s="3" t="s">
        <v>3</v>
      </c>
    </row>
    <row r="680" spans="1:9" x14ac:dyDescent="0.35">
      <c r="A680" t="str">
        <f>B672</f>
        <v>Landfill_cecile_de_milton_HOC</v>
      </c>
      <c r="B680" t="s">
        <v>16</v>
      </c>
      <c r="C680" t="s">
        <v>8</v>
      </c>
      <c r="D680">
        <v>1</v>
      </c>
      <c r="E680" t="s">
        <v>5</v>
      </c>
      <c r="F680" t="s">
        <v>176</v>
      </c>
      <c r="G680" t="s">
        <v>17</v>
      </c>
    </row>
    <row r="681" spans="1:9" x14ac:dyDescent="0.35">
      <c r="A681" t="s">
        <v>45</v>
      </c>
      <c r="B681" t="s">
        <v>46</v>
      </c>
      <c r="C681" t="s">
        <v>44</v>
      </c>
      <c r="D681">
        <f>Transportation!B9</f>
        <v>96</v>
      </c>
      <c r="E681" t="s">
        <v>47</v>
      </c>
      <c r="F681" t="s">
        <v>174</v>
      </c>
      <c r="G681" t="s">
        <v>19</v>
      </c>
    </row>
    <row r="682" spans="1:9" x14ac:dyDescent="0.35">
      <c r="A682" t="s">
        <v>182</v>
      </c>
      <c r="B682" t="s">
        <v>183</v>
      </c>
      <c r="C682" t="s">
        <v>54</v>
      </c>
      <c r="D682">
        <v>1.2233948675764872</v>
      </c>
      <c r="E682" t="s">
        <v>50</v>
      </c>
      <c r="F682" t="s">
        <v>174</v>
      </c>
      <c r="G682" t="s">
        <v>19</v>
      </c>
      <c r="I682" t="s">
        <v>37</v>
      </c>
    </row>
    <row r="683" spans="1:9" x14ac:dyDescent="0.35">
      <c r="A683" t="s">
        <v>67</v>
      </c>
      <c r="C683" t="s">
        <v>54</v>
      </c>
      <c r="D683">
        <v>4.1479948210718032</v>
      </c>
      <c r="F683" t="s">
        <v>175</v>
      </c>
      <c r="G683" t="s">
        <v>60</v>
      </c>
      <c r="H683" t="s">
        <v>61</v>
      </c>
    </row>
    <row r="684" spans="1:9" x14ac:dyDescent="0.35">
      <c r="A684" t="s">
        <v>34</v>
      </c>
      <c r="B684" t="s">
        <v>35</v>
      </c>
      <c r="C684" t="s">
        <v>36</v>
      </c>
      <c r="D684">
        <v>80.908165582352993</v>
      </c>
      <c r="E684" t="s">
        <v>5</v>
      </c>
      <c r="F684" t="s">
        <v>174</v>
      </c>
      <c r="G684" t="s">
        <v>68</v>
      </c>
    </row>
    <row r="685" spans="1:9" x14ac:dyDescent="0.35">
      <c r="A685" t="s">
        <v>65</v>
      </c>
      <c r="C685" t="s">
        <v>54</v>
      </c>
      <c r="D685">
        <v>9.23054210587319E-3</v>
      </c>
      <c r="F685" t="s">
        <v>175</v>
      </c>
      <c r="G685" t="s">
        <v>60</v>
      </c>
      <c r="H685" t="s">
        <v>61</v>
      </c>
      <c r="I685" t="s">
        <v>33</v>
      </c>
    </row>
    <row r="686" spans="1:9" x14ac:dyDescent="0.35">
      <c r="A686" t="s">
        <v>34</v>
      </c>
      <c r="B686" t="s">
        <v>35</v>
      </c>
      <c r="C686" t="s">
        <v>36</v>
      </c>
      <c r="D686">
        <v>64.423795878188926</v>
      </c>
      <c r="E686" t="s">
        <v>5</v>
      </c>
      <c r="F686" t="s">
        <v>174</v>
      </c>
      <c r="G686" t="s">
        <v>19</v>
      </c>
    </row>
    <row r="687" spans="1:9" x14ac:dyDescent="0.35">
      <c r="A687" t="s">
        <v>64</v>
      </c>
      <c r="C687" t="s">
        <v>54</v>
      </c>
      <c r="D687">
        <v>38.489348387191299</v>
      </c>
      <c r="F687" t="s">
        <v>175</v>
      </c>
      <c r="G687" t="s">
        <v>60</v>
      </c>
      <c r="H687" t="s">
        <v>61</v>
      </c>
      <c r="I687" t="s">
        <v>33</v>
      </c>
    </row>
    <row r="688" spans="1:9" x14ac:dyDescent="0.35">
      <c r="A688" t="s">
        <v>177</v>
      </c>
      <c r="B688" t="s">
        <v>56</v>
      </c>
      <c r="C688" t="s">
        <v>57</v>
      </c>
      <c r="D688">
        <v>-2.2979659065951594</v>
      </c>
      <c r="E688" t="s">
        <v>5</v>
      </c>
      <c r="F688" t="s">
        <v>174</v>
      </c>
      <c r="G688" t="s">
        <v>19</v>
      </c>
    </row>
    <row r="692" spans="1:9" x14ac:dyDescent="0.35">
      <c r="A692" s="3" t="s">
        <v>2</v>
      </c>
      <c r="B692" s="3" t="s">
        <v>330</v>
      </c>
    </row>
    <row r="693" spans="1:9" x14ac:dyDescent="0.35">
      <c r="A693" t="s">
        <v>3</v>
      </c>
      <c r="B693" t="s">
        <v>228</v>
      </c>
    </row>
    <row r="694" spans="1:9" x14ac:dyDescent="0.35">
      <c r="A694" t="s">
        <v>4</v>
      </c>
      <c r="B694" t="s">
        <v>5</v>
      </c>
    </row>
    <row r="695" spans="1:9" x14ac:dyDescent="0.35">
      <c r="A695" t="s">
        <v>6</v>
      </c>
      <c r="B695">
        <v>1</v>
      </c>
    </row>
    <row r="696" spans="1:9" x14ac:dyDescent="0.35">
      <c r="A696" t="s">
        <v>7</v>
      </c>
      <c r="B696" t="s">
        <v>8</v>
      </c>
    </row>
    <row r="698" spans="1:9" x14ac:dyDescent="0.35">
      <c r="A698" s="3" t="s">
        <v>9</v>
      </c>
      <c r="B698" s="3"/>
      <c r="C698" s="3"/>
      <c r="D698" s="3"/>
      <c r="E698" s="3"/>
      <c r="F698" s="3"/>
      <c r="G698" s="3"/>
      <c r="H698" s="3"/>
      <c r="I698" s="3"/>
    </row>
    <row r="699" spans="1:9" x14ac:dyDescent="0.35">
      <c r="A699" s="3" t="s">
        <v>10</v>
      </c>
      <c r="B699" s="3" t="s">
        <v>11</v>
      </c>
      <c r="C699" s="3" t="s">
        <v>7</v>
      </c>
      <c r="D699" s="3" t="s">
        <v>12</v>
      </c>
      <c r="E699" s="3" t="s">
        <v>4</v>
      </c>
      <c r="F699" s="3" t="s">
        <v>13</v>
      </c>
      <c r="G699" s="3" t="s">
        <v>14</v>
      </c>
      <c r="H699" s="3" t="s">
        <v>15</v>
      </c>
      <c r="I699" s="3" t="s">
        <v>3</v>
      </c>
    </row>
    <row r="700" spans="1:9" x14ac:dyDescent="0.35">
      <c r="A700" t="str">
        <f>B692</f>
        <v>Closed_composter_city_final</v>
      </c>
      <c r="B700" t="s">
        <v>16</v>
      </c>
      <c r="C700" t="s">
        <v>8</v>
      </c>
      <c r="D700">
        <v>1</v>
      </c>
      <c r="E700" t="s">
        <v>5</v>
      </c>
      <c r="F700" t="s">
        <v>176</v>
      </c>
      <c r="G700" t="s">
        <v>17</v>
      </c>
      <c r="I700" t="s">
        <v>33</v>
      </c>
    </row>
    <row r="701" spans="1:9" x14ac:dyDescent="0.35">
      <c r="A701" t="s">
        <v>34</v>
      </c>
      <c r="B701" t="s">
        <v>35</v>
      </c>
      <c r="C701" t="s">
        <v>36</v>
      </c>
      <c r="D701">
        <v>201.76904702879699</v>
      </c>
      <c r="E701" t="s">
        <v>5</v>
      </c>
      <c r="F701" t="s">
        <v>174</v>
      </c>
      <c r="G701" t="s">
        <v>19</v>
      </c>
      <c r="I701" t="s">
        <v>37</v>
      </c>
    </row>
    <row r="702" spans="1:9" x14ac:dyDescent="0.35">
      <c r="A702" t="s">
        <v>171</v>
      </c>
      <c r="B702" t="s">
        <v>170</v>
      </c>
      <c r="C702" t="s">
        <v>57</v>
      </c>
      <c r="D702">
        <v>6.7461398854140459E-2</v>
      </c>
      <c r="E702" t="s">
        <v>178</v>
      </c>
      <c r="F702" t="s">
        <v>174</v>
      </c>
      <c r="G702" t="s">
        <v>19</v>
      </c>
      <c r="I702" t="s">
        <v>37</v>
      </c>
    </row>
    <row r="703" spans="1:9" x14ac:dyDescent="0.35">
      <c r="A703" t="s">
        <v>182</v>
      </c>
      <c r="B703" t="s">
        <v>183</v>
      </c>
      <c r="C703" t="s">
        <v>54</v>
      </c>
      <c r="D703">
        <v>1.5480596850885497</v>
      </c>
      <c r="E703" t="s">
        <v>50</v>
      </c>
      <c r="F703" s="20" t="s">
        <v>174</v>
      </c>
      <c r="G703" t="s">
        <v>19</v>
      </c>
    </row>
    <row r="704" spans="1:9" x14ac:dyDescent="0.35">
      <c r="A704" t="s">
        <v>45</v>
      </c>
      <c r="B704" t="s">
        <v>46</v>
      </c>
      <c r="C704" t="s">
        <v>44</v>
      </c>
      <c r="D704">
        <f>Transportation!B14</f>
        <v>0</v>
      </c>
      <c r="E704" t="s">
        <v>47</v>
      </c>
      <c r="F704" t="s">
        <v>174</v>
      </c>
      <c r="G704" t="s">
        <v>19</v>
      </c>
      <c r="I704" t="s">
        <v>37</v>
      </c>
    </row>
    <row r="705" spans="1:9" x14ac:dyDescent="0.35">
      <c r="A705" t="s">
        <v>177</v>
      </c>
      <c r="B705" t="s">
        <v>56</v>
      </c>
      <c r="C705" t="s">
        <v>57</v>
      </c>
      <c r="D705">
        <v>-6.2798565389267605E-2</v>
      </c>
      <c r="E705" t="s">
        <v>5</v>
      </c>
      <c r="F705" t="s">
        <v>174</v>
      </c>
      <c r="G705" t="s">
        <v>19</v>
      </c>
      <c r="I705" t="s">
        <v>33</v>
      </c>
    </row>
    <row r="706" spans="1:9" x14ac:dyDescent="0.35">
      <c r="A706" t="s">
        <v>67</v>
      </c>
      <c r="C706" t="s">
        <v>54</v>
      </c>
      <c r="D706">
        <v>1.51</v>
      </c>
      <c r="F706" t="s">
        <v>175</v>
      </c>
      <c r="G706" t="s">
        <v>60</v>
      </c>
      <c r="H706" t="s">
        <v>61</v>
      </c>
    </row>
    <row r="707" spans="1:9" x14ac:dyDescent="0.35">
      <c r="A707" t="s">
        <v>65</v>
      </c>
      <c r="C707" t="s">
        <v>54</v>
      </c>
      <c r="D707">
        <v>0.18</v>
      </c>
      <c r="F707" t="s">
        <v>175</v>
      </c>
      <c r="G707" t="s">
        <v>60</v>
      </c>
      <c r="H707" t="s">
        <v>61</v>
      </c>
      <c r="I707" t="s">
        <v>33</v>
      </c>
    </row>
    <row r="708" spans="1:9" x14ac:dyDescent="0.35">
      <c r="A708" t="s">
        <v>166</v>
      </c>
      <c r="B708" t="s">
        <v>132</v>
      </c>
      <c r="C708" t="s">
        <v>54</v>
      </c>
      <c r="D708">
        <v>4.9209529363445324E-3</v>
      </c>
      <c r="E708" t="s">
        <v>135</v>
      </c>
      <c r="F708" t="s">
        <v>174</v>
      </c>
      <c r="G708" t="s">
        <v>68</v>
      </c>
    </row>
    <row r="709" spans="1:9" x14ac:dyDescent="0.35">
      <c r="A709" t="s">
        <v>167</v>
      </c>
      <c r="B709" t="s">
        <v>133</v>
      </c>
      <c r="C709" t="s">
        <v>54</v>
      </c>
      <c r="D709">
        <v>1.79180580446898</v>
      </c>
      <c r="E709" t="s">
        <v>135</v>
      </c>
      <c r="F709" t="s">
        <v>174</v>
      </c>
      <c r="G709" t="s">
        <v>68</v>
      </c>
    </row>
    <row r="710" spans="1:9" x14ac:dyDescent="0.35">
      <c r="A710" t="s">
        <v>180</v>
      </c>
      <c r="B710" t="s">
        <v>134</v>
      </c>
      <c r="C710" t="s">
        <v>54</v>
      </c>
      <c r="D710">
        <v>2.8107325301120829</v>
      </c>
      <c r="E710" t="s">
        <v>135</v>
      </c>
      <c r="F710" t="s">
        <v>174</v>
      </c>
      <c r="G710" t="s">
        <v>68</v>
      </c>
    </row>
    <row r="711" spans="1:9" x14ac:dyDescent="0.35">
      <c r="A711" t="s">
        <v>231</v>
      </c>
      <c r="B711" t="s">
        <v>230</v>
      </c>
      <c r="C711" t="s">
        <v>54</v>
      </c>
      <c r="D711">
        <v>1.1413074347177683</v>
      </c>
      <c r="E711" t="s">
        <v>50</v>
      </c>
      <c r="F711" t="s">
        <v>174</v>
      </c>
      <c r="G711" t="s">
        <v>19</v>
      </c>
    </row>
    <row r="713" spans="1:9" x14ac:dyDescent="0.35">
      <c r="A713" t="s">
        <v>2</v>
      </c>
      <c r="B713" t="s">
        <v>336</v>
      </c>
    </row>
    <row r="714" spans="1:9" x14ac:dyDescent="0.35">
      <c r="A714" t="s">
        <v>3</v>
      </c>
      <c r="B714" t="s">
        <v>338</v>
      </c>
    </row>
    <row r="715" spans="1:9" x14ac:dyDescent="0.35">
      <c r="A715" t="s">
        <v>4</v>
      </c>
      <c r="B715" t="s">
        <v>5</v>
      </c>
    </row>
    <row r="716" spans="1:9" x14ac:dyDescent="0.35">
      <c r="A716" t="s">
        <v>6</v>
      </c>
      <c r="B716">
        <v>1</v>
      </c>
    </row>
    <row r="717" spans="1:9" x14ac:dyDescent="0.35">
      <c r="A717" t="s">
        <v>7</v>
      </c>
      <c r="B717" t="s">
        <v>8</v>
      </c>
    </row>
    <row r="719" spans="1:9" x14ac:dyDescent="0.35">
      <c r="A719" t="s">
        <v>9</v>
      </c>
    </row>
    <row r="720" spans="1:9" x14ac:dyDescent="0.35">
      <c r="A720" t="s">
        <v>10</v>
      </c>
      <c r="B720" t="s">
        <v>11</v>
      </c>
      <c r="C720" t="s">
        <v>7</v>
      </c>
      <c r="D720" t="s">
        <v>12</v>
      </c>
      <c r="E720" t="s">
        <v>4</v>
      </c>
      <c r="F720" t="s">
        <v>13</v>
      </c>
      <c r="G720" t="s">
        <v>14</v>
      </c>
      <c r="H720" t="s">
        <v>15</v>
      </c>
      <c r="I720" t="s">
        <v>3</v>
      </c>
    </row>
    <row r="721" spans="1:8" x14ac:dyDescent="0.35">
      <c r="A721" t="str">
        <f>B713</f>
        <v>AD_with biogas upgrading</v>
      </c>
      <c r="B721" t="s">
        <v>16</v>
      </c>
      <c r="C721" t="s">
        <v>8</v>
      </c>
      <c r="D721">
        <v>1</v>
      </c>
      <c r="E721" t="s">
        <v>5</v>
      </c>
      <c r="F721" t="s">
        <v>176</v>
      </c>
      <c r="G721" t="s">
        <v>17</v>
      </c>
    </row>
    <row r="722" spans="1:8" x14ac:dyDescent="0.35">
      <c r="A722" t="s">
        <v>34</v>
      </c>
      <c r="B722" t="s">
        <v>35</v>
      </c>
      <c r="C722" t="s">
        <v>36</v>
      </c>
      <c r="D722">
        <v>2.1350000000000002</v>
      </c>
      <c r="E722" t="s">
        <v>5</v>
      </c>
      <c r="F722" t="s">
        <v>174</v>
      </c>
      <c r="G722" t="s">
        <v>19</v>
      </c>
    </row>
    <row r="723" spans="1:8" x14ac:dyDescent="0.35">
      <c r="A723" t="s">
        <v>71</v>
      </c>
      <c r="B723" t="s">
        <v>72</v>
      </c>
      <c r="C723" t="s">
        <v>73</v>
      </c>
      <c r="D723">
        <v>241.60000000000002</v>
      </c>
      <c r="E723" t="s">
        <v>50</v>
      </c>
      <c r="F723" t="s">
        <v>174</v>
      </c>
      <c r="G723" t="s">
        <v>19</v>
      </c>
    </row>
    <row r="724" spans="1:8" x14ac:dyDescent="0.35">
      <c r="A724" t="s">
        <v>38</v>
      </c>
      <c r="B724" t="s">
        <v>39</v>
      </c>
      <c r="C724" t="s">
        <v>40</v>
      </c>
      <c r="D724">
        <v>0.352112676056338</v>
      </c>
      <c r="E724" t="s">
        <v>41</v>
      </c>
      <c r="F724" t="s">
        <v>174</v>
      </c>
      <c r="G724" t="s">
        <v>19</v>
      </c>
    </row>
    <row r="725" spans="1:8" x14ac:dyDescent="0.35">
      <c r="A725" t="s">
        <v>74</v>
      </c>
      <c r="B725" t="s">
        <v>75</v>
      </c>
      <c r="C725" t="s">
        <v>54</v>
      </c>
      <c r="D725">
        <v>225</v>
      </c>
      <c r="E725" t="s">
        <v>70</v>
      </c>
      <c r="F725" t="s">
        <v>174</v>
      </c>
      <c r="G725" t="s">
        <v>19</v>
      </c>
    </row>
    <row r="726" spans="1:8" x14ac:dyDescent="0.35">
      <c r="A726" t="s">
        <v>45</v>
      </c>
      <c r="B726" t="s">
        <v>46</v>
      </c>
      <c r="C726" t="s">
        <v>44</v>
      </c>
      <c r="D726">
        <v>0</v>
      </c>
      <c r="E726" t="s">
        <v>47</v>
      </c>
      <c r="F726" t="s">
        <v>174</v>
      </c>
      <c r="G726" t="s">
        <v>19</v>
      </c>
    </row>
    <row r="727" spans="1:8" x14ac:dyDescent="0.35">
      <c r="A727" t="s">
        <v>63</v>
      </c>
      <c r="C727" t="s">
        <v>54</v>
      </c>
      <c r="D727">
        <v>0.14559999999999998</v>
      </c>
      <c r="F727" t="s">
        <v>175</v>
      </c>
      <c r="G727" t="s">
        <v>60</v>
      </c>
      <c r="H727" t="s">
        <v>61</v>
      </c>
    </row>
    <row r="728" spans="1:8" x14ac:dyDescent="0.35">
      <c r="A728" t="s">
        <v>64</v>
      </c>
      <c r="C728" t="s">
        <v>54</v>
      </c>
      <c r="D728">
        <v>0</v>
      </c>
      <c r="F728" t="s">
        <v>175</v>
      </c>
      <c r="G728" t="s">
        <v>60</v>
      </c>
      <c r="H728" t="s">
        <v>61</v>
      </c>
    </row>
    <row r="729" spans="1:8" x14ac:dyDescent="0.35">
      <c r="A729" t="s">
        <v>65</v>
      </c>
      <c r="C729" t="s">
        <v>54</v>
      </c>
      <c r="D729">
        <v>1.6666666666666666E-3</v>
      </c>
      <c r="F729" t="s">
        <v>175</v>
      </c>
      <c r="G729" t="s">
        <v>60</v>
      </c>
      <c r="H729" t="s">
        <v>61</v>
      </c>
    </row>
    <row r="730" spans="1:8" x14ac:dyDescent="0.35">
      <c r="A730" t="s">
        <v>66</v>
      </c>
      <c r="C730" t="s">
        <v>54</v>
      </c>
      <c r="D730">
        <v>8.9599999999999999E-2</v>
      </c>
      <c r="F730" t="s">
        <v>175</v>
      </c>
      <c r="G730" t="s">
        <v>60</v>
      </c>
      <c r="H730" t="s">
        <v>61</v>
      </c>
    </row>
    <row r="731" spans="1:8" x14ac:dyDescent="0.35">
      <c r="A731" t="s">
        <v>67</v>
      </c>
      <c r="C731" t="s">
        <v>54</v>
      </c>
      <c r="D731">
        <v>1.6666666666666666E-3</v>
      </c>
      <c r="F731" t="s">
        <v>175</v>
      </c>
      <c r="G731" t="s">
        <v>60</v>
      </c>
      <c r="H731" t="s">
        <v>61</v>
      </c>
    </row>
    <row r="732" spans="1:8" x14ac:dyDescent="0.35">
      <c r="A732" t="s">
        <v>179</v>
      </c>
      <c r="C732" t="s">
        <v>54</v>
      </c>
      <c r="D732">
        <v>0.42599999999999999</v>
      </c>
      <c r="F732" t="s">
        <v>175</v>
      </c>
      <c r="G732" t="s">
        <v>60</v>
      </c>
      <c r="H732" t="s">
        <v>61</v>
      </c>
    </row>
    <row r="733" spans="1:8" x14ac:dyDescent="0.35">
      <c r="A733" t="s">
        <v>76</v>
      </c>
      <c r="C733" t="s">
        <v>54</v>
      </c>
      <c r="D733">
        <v>2.97E-3</v>
      </c>
      <c r="F733" t="s">
        <v>175</v>
      </c>
      <c r="G733" t="s">
        <v>60</v>
      </c>
      <c r="H733" t="s">
        <v>61</v>
      </c>
    </row>
    <row r="734" spans="1:8" x14ac:dyDescent="0.35">
      <c r="A734" t="s">
        <v>77</v>
      </c>
      <c r="C734" t="s">
        <v>54</v>
      </c>
      <c r="D734">
        <v>9.2799999999999992E-5</v>
      </c>
      <c r="F734" t="s">
        <v>175</v>
      </c>
      <c r="G734" t="s">
        <v>60</v>
      </c>
      <c r="H734" t="s">
        <v>59</v>
      </c>
    </row>
    <row r="735" spans="1:8" x14ac:dyDescent="0.35">
      <c r="A735" t="s">
        <v>78</v>
      </c>
      <c r="C735" t="s">
        <v>54</v>
      </c>
      <c r="D735">
        <v>1.0899999999999999E-4</v>
      </c>
      <c r="F735" t="s">
        <v>175</v>
      </c>
      <c r="G735" t="s">
        <v>60</v>
      </c>
      <c r="H735" t="s">
        <v>59</v>
      </c>
    </row>
    <row r="736" spans="1:8" x14ac:dyDescent="0.35">
      <c r="A736" t="s">
        <v>79</v>
      </c>
      <c r="C736" t="s">
        <v>54</v>
      </c>
      <c r="D736">
        <v>7.039999999999999E-5</v>
      </c>
      <c r="F736" t="s">
        <v>175</v>
      </c>
      <c r="G736" t="s">
        <v>60</v>
      </c>
      <c r="H736" t="s">
        <v>61</v>
      </c>
    </row>
    <row r="737" spans="1:9" x14ac:dyDescent="0.35">
      <c r="A737" t="s">
        <v>177</v>
      </c>
      <c r="B737" t="s">
        <v>56</v>
      </c>
      <c r="C737" t="s">
        <v>57</v>
      </c>
      <c r="D737">
        <v>-0.22500000000000001</v>
      </c>
      <c r="E737" t="s">
        <v>5</v>
      </c>
      <c r="F737" t="s">
        <v>174</v>
      </c>
      <c r="G737" t="s">
        <v>19</v>
      </c>
      <c r="I737" t="s">
        <v>33</v>
      </c>
    </row>
    <row r="738" spans="1:9" x14ac:dyDescent="0.35">
      <c r="A738" t="s">
        <v>171</v>
      </c>
      <c r="B738" t="s">
        <v>170</v>
      </c>
      <c r="C738" t="s">
        <v>57</v>
      </c>
      <c r="D738" s="10">
        <v>92.3</v>
      </c>
      <c r="E738" t="s">
        <v>178</v>
      </c>
      <c r="F738" t="s">
        <v>174</v>
      </c>
      <c r="G738" t="s">
        <v>68</v>
      </c>
    </row>
    <row r="739" spans="1:9" x14ac:dyDescent="0.35">
      <c r="A739" t="s">
        <v>166</v>
      </c>
      <c r="B739" t="s">
        <v>132</v>
      </c>
      <c r="C739" t="s">
        <v>54</v>
      </c>
      <c r="D739" s="10">
        <v>3.1701499999999991</v>
      </c>
      <c r="E739" t="s">
        <v>135</v>
      </c>
      <c r="F739" t="s">
        <v>174</v>
      </c>
      <c r="G739" t="s">
        <v>68</v>
      </c>
      <c r="I739" t="s">
        <v>202</v>
      </c>
    </row>
    <row r="740" spans="1:9" x14ac:dyDescent="0.35">
      <c r="A740" t="s">
        <v>167</v>
      </c>
      <c r="B740" t="s">
        <v>133</v>
      </c>
      <c r="C740" t="s">
        <v>54</v>
      </c>
      <c r="D740" s="10">
        <v>3.348749999999999</v>
      </c>
      <c r="E740" t="s">
        <v>135</v>
      </c>
      <c r="F740" t="s">
        <v>174</v>
      </c>
      <c r="G740" t="s">
        <v>68</v>
      </c>
    </row>
    <row r="741" spans="1:9" x14ac:dyDescent="0.35">
      <c r="A741" t="s">
        <v>180</v>
      </c>
      <c r="B741" t="s">
        <v>134</v>
      </c>
      <c r="C741" t="s">
        <v>54</v>
      </c>
      <c r="D741" s="10">
        <v>0.2902249999999999</v>
      </c>
      <c r="E741" t="s">
        <v>135</v>
      </c>
      <c r="F741" t="s">
        <v>174</v>
      </c>
      <c r="G741" t="s">
        <v>68</v>
      </c>
    </row>
    <row r="742" spans="1:9" x14ac:dyDescent="0.35">
      <c r="A742" t="s">
        <v>340</v>
      </c>
      <c r="B742" t="s">
        <v>334</v>
      </c>
      <c r="C742" t="s">
        <v>7</v>
      </c>
      <c r="D742" s="10">
        <v>0</v>
      </c>
      <c r="E742" t="s">
        <v>50</v>
      </c>
      <c r="F742" t="s">
        <v>174</v>
      </c>
      <c r="G742" t="s">
        <v>19</v>
      </c>
      <c r="I742" t="s">
        <v>351</v>
      </c>
    </row>
    <row r="743" spans="1:9" x14ac:dyDescent="0.35">
      <c r="A743" t="s">
        <v>341</v>
      </c>
      <c r="B743" t="s">
        <v>335</v>
      </c>
      <c r="C743" t="s">
        <v>210</v>
      </c>
      <c r="D743" s="10">
        <v>2.7099999999999999E-10</v>
      </c>
      <c r="E743" t="s">
        <v>41</v>
      </c>
      <c r="F743" t="s">
        <v>174</v>
      </c>
      <c r="G743" t="s">
        <v>19</v>
      </c>
    </row>
    <row r="744" spans="1:9" x14ac:dyDescent="0.35">
      <c r="A744" t="s">
        <v>342</v>
      </c>
      <c r="B744" t="s">
        <v>349</v>
      </c>
      <c r="C744" t="s">
        <v>210</v>
      </c>
      <c r="D744" s="10">
        <v>5.0000000000000001E-4</v>
      </c>
      <c r="E744" t="s">
        <v>50</v>
      </c>
      <c r="F744" t="s">
        <v>174</v>
      </c>
      <c r="G744" t="s">
        <v>19</v>
      </c>
    </row>
    <row r="745" spans="1:9" x14ac:dyDescent="0.35">
      <c r="A745" t="s">
        <v>343</v>
      </c>
      <c r="B745" t="s">
        <v>344</v>
      </c>
      <c r="C745" t="s">
        <v>210</v>
      </c>
      <c r="D745" s="10">
        <v>0.03</v>
      </c>
      <c r="E745" t="s">
        <v>41</v>
      </c>
      <c r="F745" t="s">
        <v>174</v>
      </c>
      <c r="G745" t="s">
        <v>19</v>
      </c>
    </row>
    <row r="746" spans="1:9" x14ac:dyDescent="0.35">
      <c r="A746" t="s">
        <v>345</v>
      </c>
      <c r="B746" t="s">
        <v>346</v>
      </c>
      <c r="C746" t="s">
        <v>210</v>
      </c>
      <c r="D746" s="10">
        <v>3.0000000000000001E-5</v>
      </c>
      <c r="E746" t="s">
        <v>41</v>
      </c>
      <c r="F746" t="s">
        <v>174</v>
      </c>
      <c r="G746" t="s">
        <v>19</v>
      </c>
    </row>
    <row r="747" spans="1:9" x14ac:dyDescent="0.35">
      <c r="A747" t="s">
        <v>347</v>
      </c>
      <c r="B747" t="s">
        <v>348</v>
      </c>
      <c r="C747" t="s">
        <v>339</v>
      </c>
      <c r="D747" s="10">
        <v>1.2800000000000001E-2</v>
      </c>
      <c r="E747" t="s">
        <v>5</v>
      </c>
      <c r="F747" t="s">
        <v>174</v>
      </c>
      <c r="G747" t="s">
        <v>19</v>
      </c>
    </row>
    <row r="748" spans="1:9" x14ac:dyDescent="0.35">
      <c r="A748" t="s">
        <v>67</v>
      </c>
      <c r="C748" t="s">
        <v>210</v>
      </c>
      <c r="D748" s="10">
        <v>5.1900000000000002E-3</v>
      </c>
      <c r="F748" t="s">
        <v>174</v>
      </c>
      <c r="G748" t="s">
        <v>60</v>
      </c>
      <c r="H748" t="s">
        <v>61</v>
      </c>
    </row>
    <row r="749" spans="1:9" x14ac:dyDescent="0.35">
      <c r="A749" t="s">
        <v>66</v>
      </c>
      <c r="C749" t="s">
        <v>210</v>
      </c>
      <c r="D749" s="10">
        <v>0.621</v>
      </c>
      <c r="F749" t="s">
        <v>174</v>
      </c>
      <c r="G749" t="s">
        <v>60</v>
      </c>
      <c r="H749" t="s">
        <v>61</v>
      </c>
    </row>
    <row r="750" spans="1:9" x14ac:dyDescent="0.35">
      <c r="A750" t="s">
        <v>337</v>
      </c>
      <c r="C750" t="s">
        <v>210</v>
      </c>
      <c r="D750" s="10">
        <v>8.1199999999999994E-2</v>
      </c>
      <c r="F750" t="s">
        <v>174</v>
      </c>
      <c r="G750" t="s">
        <v>60</v>
      </c>
      <c r="H750" t="s">
        <v>61</v>
      </c>
    </row>
    <row r="751" spans="1:9" x14ac:dyDescent="0.35">
      <c r="A751" t="s">
        <v>350</v>
      </c>
      <c r="C751" t="s">
        <v>210</v>
      </c>
      <c r="D751" s="10">
        <v>1.94E-4</v>
      </c>
      <c r="F751" t="s">
        <v>174</v>
      </c>
      <c r="G751" t="s">
        <v>60</v>
      </c>
      <c r="H751" t="s">
        <v>61</v>
      </c>
    </row>
    <row r="752" spans="1:9" x14ac:dyDescent="0.35">
      <c r="A752" t="s">
        <v>63</v>
      </c>
      <c r="C752" t="s">
        <v>210</v>
      </c>
      <c r="D752" s="10">
        <v>2.3599999999999999E-6</v>
      </c>
      <c r="F752" t="s">
        <v>174</v>
      </c>
      <c r="G752" t="s">
        <v>60</v>
      </c>
      <c r="H752" t="s">
        <v>61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975D-BBB2-433E-B5BE-1795401400D6}">
  <dimension ref="A1:N34"/>
  <sheetViews>
    <sheetView zoomScale="101" workbookViewId="0">
      <selection activeCell="E25" sqref="E25"/>
    </sheetView>
  </sheetViews>
  <sheetFormatPr defaultRowHeight="14.5" x14ac:dyDescent="0.35"/>
  <cols>
    <col min="1" max="1" width="45.54296875" customWidth="1"/>
    <col min="2" max="2" width="18.26953125" customWidth="1"/>
    <col min="3" max="3" width="23.7265625" customWidth="1"/>
    <col min="4" max="4" width="13.81640625" customWidth="1"/>
    <col min="5" max="5" width="18.81640625" customWidth="1"/>
    <col min="6" max="6" width="13" customWidth="1"/>
  </cols>
  <sheetData>
    <row r="1" spans="1:9" x14ac:dyDescent="0.35">
      <c r="A1" s="2" t="s">
        <v>193</v>
      </c>
      <c r="D1" s="44" t="s">
        <v>191</v>
      </c>
      <c r="E1" s="44"/>
      <c r="F1" s="44"/>
      <c r="G1" s="44"/>
    </row>
    <row r="2" spans="1:9" x14ac:dyDescent="0.35">
      <c r="A2" t="s">
        <v>192</v>
      </c>
      <c r="C2" t="s">
        <v>235</v>
      </c>
      <c r="D2" s="2" t="s">
        <v>234</v>
      </c>
      <c r="E2" s="2" t="s">
        <v>189</v>
      </c>
      <c r="F2" s="2" t="s">
        <v>190</v>
      </c>
      <c r="G2" s="2" t="s">
        <v>203</v>
      </c>
      <c r="H2" s="2" t="s">
        <v>236</v>
      </c>
      <c r="I2" s="2" t="s">
        <v>237</v>
      </c>
    </row>
    <row r="3" spans="1:9" x14ac:dyDescent="0.35">
      <c r="A3" t="s">
        <v>35</v>
      </c>
    </row>
    <row r="4" spans="1:9" x14ac:dyDescent="0.35">
      <c r="A4" t="s">
        <v>183</v>
      </c>
    </row>
    <row r="5" spans="1:9" x14ac:dyDescent="0.35">
      <c r="A5" t="s">
        <v>188</v>
      </c>
    </row>
    <row r="6" spans="1:9" x14ac:dyDescent="0.35">
      <c r="A6" t="s">
        <v>53</v>
      </c>
    </row>
    <row r="7" spans="1:9" x14ac:dyDescent="0.35">
      <c r="A7" t="s">
        <v>132</v>
      </c>
    </row>
    <row r="8" spans="1:9" x14ac:dyDescent="0.35">
      <c r="A8" t="s">
        <v>133</v>
      </c>
    </row>
    <row r="9" spans="1:9" x14ac:dyDescent="0.35">
      <c r="A9" t="s">
        <v>134</v>
      </c>
    </row>
    <row r="10" spans="1:9" x14ac:dyDescent="0.35">
      <c r="A10" t="s">
        <v>64</v>
      </c>
      <c r="D10">
        <v>0</v>
      </c>
      <c r="E10">
        <v>34.182910414277877</v>
      </c>
      <c r="F10">
        <v>97.9</v>
      </c>
    </row>
    <row r="11" spans="1:9" x14ac:dyDescent="0.35">
      <c r="A11" t="s">
        <v>65</v>
      </c>
      <c r="C11">
        <v>0.2245413602378791</v>
      </c>
      <c r="D11" s="10">
        <v>1.3472481614272745E-5</v>
      </c>
      <c r="E11">
        <v>8.9947155890124133</v>
      </c>
      <c r="F11" s="25">
        <f>1000*0.00015225</f>
        <v>0.15225</v>
      </c>
      <c r="H11">
        <v>1.6666666666666666E-3</v>
      </c>
      <c r="I11">
        <v>0.2050810380829273</v>
      </c>
    </row>
    <row r="12" spans="1:9" x14ac:dyDescent="0.35">
      <c r="A12" t="s">
        <v>67</v>
      </c>
      <c r="C12">
        <v>1.6279248617246236</v>
      </c>
      <c r="D12">
        <v>2.6570727628149027E-3</v>
      </c>
      <c r="E12">
        <v>5.6084550575801383E-2</v>
      </c>
      <c r="F12">
        <v>3.24</v>
      </c>
      <c r="H12">
        <v>1.6666666666666666E-3</v>
      </c>
    </row>
    <row r="13" spans="1:9" x14ac:dyDescent="0.35">
      <c r="A13" t="s">
        <v>63</v>
      </c>
    </row>
    <row r="14" spans="1:9" x14ac:dyDescent="0.35">
      <c r="A14" t="s">
        <v>179</v>
      </c>
    </row>
    <row r="15" spans="1:9" x14ac:dyDescent="0.35">
      <c r="A15" t="s">
        <v>66</v>
      </c>
    </row>
    <row r="19" spans="1:14" x14ac:dyDescent="0.35">
      <c r="A19" s="2" t="s">
        <v>194</v>
      </c>
      <c r="C19" t="s">
        <v>239</v>
      </c>
      <c r="D19" s="2" t="s">
        <v>238</v>
      </c>
      <c r="E19" s="2" t="s">
        <v>199</v>
      </c>
      <c r="F19" s="2" t="s">
        <v>198</v>
      </c>
      <c r="G19" s="2" t="s">
        <v>200</v>
      </c>
    </row>
    <row r="20" spans="1:14" x14ac:dyDescent="0.35">
      <c r="A20" t="s">
        <v>46</v>
      </c>
    </row>
    <row r="21" spans="1:14" x14ac:dyDescent="0.35">
      <c r="A21" t="s">
        <v>201</v>
      </c>
      <c r="C21" s="26">
        <v>0.68883085661884547</v>
      </c>
      <c r="D21" s="2">
        <v>0.68883085661884558</v>
      </c>
      <c r="E21" s="10">
        <f>230800*I24*I26/1000*840</f>
        <v>5.276331364752</v>
      </c>
      <c r="H21" t="s">
        <v>250</v>
      </c>
    </row>
    <row r="22" spans="1:14" x14ac:dyDescent="0.35">
      <c r="A22" t="s">
        <v>253</v>
      </c>
      <c r="E22" s="2">
        <f>0.08074*I24*1000</f>
        <v>73.246092677999997</v>
      </c>
      <c r="F22" s="25">
        <v>73.250026790475331</v>
      </c>
    </row>
    <row r="23" spans="1:14" x14ac:dyDescent="0.35">
      <c r="A23" t="s">
        <v>252</v>
      </c>
      <c r="C23">
        <v>44.250229990800371</v>
      </c>
      <c r="E23">
        <f>0.01598*I24*1000</f>
        <v>14.496811506</v>
      </c>
      <c r="F23" s="25">
        <v>16.43865381141773</v>
      </c>
      <c r="G23" s="2">
        <v>2.33552297919117</v>
      </c>
      <c r="I23" s="2" t="s">
        <v>248</v>
      </c>
      <c r="J23" s="2" t="s">
        <v>139</v>
      </c>
    </row>
    <row r="24" spans="1:14" x14ac:dyDescent="0.35">
      <c r="A24" t="s">
        <v>251</v>
      </c>
      <c r="E24" s="2">
        <f>89.18599*I24</f>
        <v>80.908165582352993</v>
      </c>
      <c r="I24" s="28">
        <v>0.90718469999999996</v>
      </c>
      <c r="J24" t="s">
        <v>249</v>
      </c>
    </row>
    <row r="25" spans="1:14" x14ac:dyDescent="0.35">
      <c r="A25" t="s">
        <v>171</v>
      </c>
      <c r="C25">
        <v>109.57129105566415</v>
      </c>
      <c r="D25" s="2">
        <v>109.57129105566415</v>
      </c>
      <c r="I25" s="2" t="s">
        <v>254</v>
      </c>
      <c r="J25" s="2" t="s">
        <v>139</v>
      </c>
    </row>
    <row r="26" spans="1:14" ht="16" x14ac:dyDescent="0.4">
      <c r="A26" t="s">
        <v>195</v>
      </c>
      <c r="C26">
        <v>410.59899826229173</v>
      </c>
      <c r="D26" s="5">
        <v>22.112566837710503</v>
      </c>
      <c r="G26" s="2">
        <v>21.671376530106802</v>
      </c>
      <c r="I26" s="10">
        <v>3.0000000000000001E-5</v>
      </c>
      <c r="J26" t="s">
        <v>255</v>
      </c>
      <c r="N26" s="27"/>
    </row>
    <row r="27" spans="1:14" x14ac:dyDescent="0.35">
      <c r="A27" t="s">
        <v>196</v>
      </c>
      <c r="C27">
        <v>9.8470135268663328E-2</v>
      </c>
      <c r="D27">
        <v>5.3950634769950809E-3</v>
      </c>
      <c r="G27" s="2">
        <v>5.1972444828385896E-3</v>
      </c>
      <c r="I27" t="s">
        <v>256</v>
      </c>
      <c r="J27" t="s">
        <v>258</v>
      </c>
    </row>
    <row r="28" spans="1:14" x14ac:dyDescent="0.35">
      <c r="A28" t="s">
        <v>197</v>
      </c>
      <c r="C28">
        <v>36.273732772249062</v>
      </c>
      <c r="D28" s="2">
        <v>36.273732772249062</v>
      </c>
      <c r="I28">
        <v>840</v>
      </c>
      <c r="J28" t="s">
        <v>257</v>
      </c>
    </row>
    <row r="31" spans="1:14" x14ac:dyDescent="0.35">
      <c r="A31" t="s">
        <v>204</v>
      </c>
      <c r="D31" t="s">
        <v>207</v>
      </c>
      <c r="E31" t="s">
        <v>208</v>
      </c>
      <c r="F31" t="s">
        <v>205</v>
      </c>
      <c r="G31" t="s">
        <v>206</v>
      </c>
      <c r="H31" t="s">
        <v>209</v>
      </c>
      <c r="I31" t="s">
        <v>7</v>
      </c>
    </row>
    <row r="32" spans="1:14" x14ac:dyDescent="0.35">
      <c r="A32" t="s">
        <v>166</v>
      </c>
      <c r="B32" t="s">
        <v>132</v>
      </c>
      <c r="D32">
        <v>2.3344288127999997</v>
      </c>
      <c r="E32">
        <v>8.3637999999999977</v>
      </c>
      <c r="F32">
        <v>0.29528799999999999</v>
      </c>
      <c r="G32">
        <f>620*0.4</f>
        <v>248</v>
      </c>
      <c r="H32">
        <v>1.7808000000000002</v>
      </c>
      <c r="I32" t="s">
        <v>210</v>
      </c>
    </row>
    <row r="33" spans="1:9" x14ac:dyDescent="0.35">
      <c r="A33" t="s">
        <v>167</v>
      </c>
      <c r="B33" t="s">
        <v>133</v>
      </c>
      <c r="D33">
        <v>0.62187652799999993</v>
      </c>
      <c r="E33">
        <v>8.8349999999999973</v>
      </c>
      <c r="F33">
        <v>0.168736</v>
      </c>
      <c r="H33">
        <v>1.0176000000000001</v>
      </c>
      <c r="I33" t="s">
        <v>210</v>
      </c>
    </row>
    <row r="34" spans="1:9" x14ac:dyDescent="0.35">
      <c r="A34" t="s">
        <v>180</v>
      </c>
      <c r="B34" t="s">
        <v>134</v>
      </c>
      <c r="D34">
        <v>1.453097442680776E-2</v>
      </c>
      <c r="E34">
        <v>0.76569999999999983</v>
      </c>
      <c r="F34">
        <v>0.253104</v>
      </c>
      <c r="H34">
        <v>1.5264000000000002</v>
      </c>
      <c r="I34" t="s">
        <v>210</v>
      </c>
    </row>
  </sheetData>
  <mergeCells count="1">
    <mergeCell ref="D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35FC-1A5C-4366-B721-8F008F0E5DA1}">
  <dimension ref="A3:T31"/>
  <sheetViews>
    <sheetView topLeftCell="A6" workbookViewId="0">
      <selection activeCell="J12" sqref="J12"/>
    </sheetView>
  </sheetViews>
  <sheetFormatPr defaultRowHeight="14.5" x14ac:dyDescent="0.35"/>
  <cols>
    <col min="7" max="7" width="18" customWidth="1"/>
    <col min="8" max="8" width="26.26953125" customWidth="1"/>
    <col min="10" max="10" width="18.54296875" customWidth="1"/>
    <col min="11" max="11" width="21.453125" customWidth="1"/>
  </cols>
  <sheetData>
    <row r="3" spans="1:20" x14ac:dyDescent="0.35">
      <c r="J3" t="s">
        <v>271</v>
      </c>
      <c r="K3">
        <v>313091.03699999995</v>
      </c>
    </row>
    <row r="4" spans="1:20" ht="87" x14ac:dyDescent="0.35">
      <c r="A4" s="30" t="s">
        <v>272</v>
      </c>
      <c r="B4" s="31" t="s">
        <v>273</v>
      </c>
      <c r="C4" s="32" t="s">
        <v>274</v>
      </c>
      <c r="D4" s="32" t="s">
        <v>275</v>
      </c>
      <c r="F4" t="s">
        <v>329</v>
      </c>
      <c r="J4" t="s">
        <v>328</v>
      </c>
      <c r="K4">
        <v>29349</v>
      </c>
      <c r="L4" t="s">
        <v>276</v>
      </c>
    </row>
    <row r="5" spans="1:20" x14ac:dyDescent="0.35">
      <c r="A5" s="33" t="s">
        <v>277</v>
      </c>
      <c r="B5" s="34" t="s">
        <v>278</v>
      </c>
      <c r="C5" s="35" t="s">
        <v>279</v>
      </c>
      <c r="D5" s="36">
        <v>6370</v>
      </c>
      <c r="J5" t="s">
        <v>280</v>
      </c>
      <c r="K5">
        <v>556063.89299999992</v>
      </c>
    </row>
    <row r="6" spans="1:20" ht="19.5" thickBot="1" x14ac:dyDescent="0.45">
      <c r="A6" s="33" t="s">
        <v>281</v>
      </c>
      <c r="B6" s="34" t="s">
        <v>282</v>
      </c>
      <c r="C6" s="37" t="s">
        <v>283</v>
      </c>
      <c r="D6" s="36">
        <v>27915</v>
      </c>
      <c r="F6" s="38" t="s">
        <v>284</v>
      </c>
      <c r="G6" s="38" t="s">
        <v>285</v>
      </c>
      <c r="H6" s="38" t="s">
        <v>286</v>
      </c>
      <c r="J6" s="39" t="s">
        <v>287</v>
      </c>
      <c r="L6" s="38" t="s">
        <v>284</v>
      </c>
      <c r="M6" s="38" t="s">
        <v>285</v>
      </c>
      <c r="N6" s="38" t="s">
        <v>286</v>
      </c>
      <c r="R6" t="str">
        <f>A7</f>
        <v>LET de Ste-Sophie</v>
      </c>
    </row>
    <row r="7" spans="1:20" ht="20" thickTop="1" thickBot="1" x14ac:dyDescent="0.45">
      <c r="A7" s="33" t="s">
        <v>288</v>
      </c>
      <c r="B7" s="34" t="s">
        <v>289</v>
      </c>
      <c r="C7" s="40" t="s">
        <v>290</v>
      </c>
      <c r="D7" s="36">
        <v>6173</v>
      </c>
      <c r="F7" s="41" t="s">
        <v>291</v>
      </c>
      <c r="G7" s="42">
        <v>12050.67</v>
      </c>
      <c r="H7" s="42" t="s">
        <v>292</v>
      </c>
      <c r="J7">
        <f>G7/$K$3*1000</f>
        <v>38.489348387191299</v>
      </c>
      <c r="K7" t="s">
        <v>293</v>
      </c>
      <c r="L7" s="41" t="s">
        <v>291</v>
      </c>
      <c r="M7" s="42" t="s">
        <v>294</v>
      </c>
      <c r="N7" s="42" t="s">
        <v>295</v>
      </c>
      <c r="R7" s="38" t="s">
        <v>284</v>
      </c>
      <c r="S7" s="38" t="s">
        <v>285</v>
      </c>
      <c r="T7" s="38" t="s">
        <v>286</v>
      </c>
    </row>
    <row r="8" spans="1:20" ht="20" thickTop="1" thickBot="1" x14ac:dyDescent="0.4">
      <c r="A8" s="33" t="s">
        <v>296</v>
      </c>
      <c r="B8" s="34" t="s">
        <v>282</v>
      </c>
      <c r="C8" s="37" t="s">
        <v>297</v>
      </c>
      <c r="D8" s="36">
        <v>6171</v>
      </c>
      <c r="F8" s="41" t="s">
        <v>298</v>
      </c>
      <c r="G8" s="42">
        <v>1298.7</v>
      </c>
      <c r="H8" s="42" t="s">
        <v>299</v>
      </c>
      <c r="J8">
        <f t="shared" ref="J8:J9" si="0">G8/$K$3*1000</f>
        <v>4.1479948210718032</v>
      </c>
      <c r="K8" t="s">
        <v>293</v>
      </c>
      <c r="L8" s="41" t="s">
        <v>298</v>
      </c>
      <c r="M8" s="42" t="s">
        <v>300</v>
      </c>
      <c r="N8" s="42" t="s">
        <v>301</v>
      </c>
      <c r="R8" s="41" t="s">
        <v>291</v>
      </c>
      <c r="S8" s="42" t="s">
        <v>302</v>
      </c>
      <c r="T8" s="42" t="s">
        <v>303</v>
      </c>
    </row>
    <row r="9" spans="1:20" ht="19.5" thickBot="1" x14ac:dyDescent="0.4">
      <c r="A9" s="33" t="s">
        <v>304</v>
      </c>
      <c r="B9" s="34" t="s">
        <v>278</v>
      </c>
      <c r="C9" s="35" t="s">
        <v>305</v>
      </c>
      <c r="D9" s="43"/>
      <c r="F9" s="41" t="s">
        <v>306</v>
      </c>
      <c r="G9" s="42">
        <v>2.89</v>
      </c>
      <c r="H9" s="42">
        <v>766</v>
      </c>
      <c r="J9">
        <f t="shared" si="0"/>
        <v>9.23054210587319E-3</v>
      </c>
      <c r="K9" t="s">
        <v>293</v>
      </c>
      <c r="L9" s="41" t="s">
        <v>306</v>
      </c>
      <c r="M9" s="42">
        <v>0.01</v>
      </c>
      <c r="N9" s="42">
        <v>2</v>
      </c>
      <c r="R9" s="41" t="s">
        <v>298</v>
      </c>
      <c r="S9" s="42" t="s">
        <v>307</v>
      </c>
      <c r="T9" s="42" t="s">
        <v>308</v>
      </c>
    </row>
    <row r="10" spans="1:20" ht="19.5" thickBot="1" x14ac:dyDescent="0.4">
      <c r="A10" s="33" t="s">
        <v>309</v>
      </c>
      <c r="B10" s="34" t="s">
        <v>282</v>
      </c>
      <c r="C10" s="37" t="s">
        <v>310</v>
      </c>
      <c r="D10" s="36">
        <v>31585</v>
      </c>
      <c r="F10" s="41" t="s">
        <v>311</v>
      </c>
      <c r="G10" s="42">
        <v>0</v>
      </c>
      <c r="H10" s="42">
        <v>0</v>
      </c>
      <c r="L10" s="41" t="s">
        <v>311</v>
      </c>
      <c r="M10" s="42">
        <v>0</v>
      </c>
      <c r="N10" s="42">
        <v>0</v>
      </c>
      <c r="R10" s="41" t="s">
        <v>306</v>
      </c>
      <c r="S10" s="42">
        <v>0.03</v>
      </c>
      <c r="T10" s="42">
        <v>7</v>
      </c>
    </row>
    <row r="11" spans="1:20" ht="19.5" thickBot="1" x14ac:dyDescent="0.4">
      <c r="F11" s="41" t="s">
        <v>312</v>
      </c>
      <c r="G11" s="42">
        <v>0</v>
      </c>
      <c r="H11" s="42">
        <v>0</v>
      </c>
      <c r="L11" s="41" t="s">
        <v>312</v>
      </c>
      <c r="M11" s="42">
        <v>0</v>
      </c>
      <c r="N11" s="42">
        <v>0</v>
      </c>
      <c r="R11" s="41" t="s">
        <v>311</v>
      </c>
      <c r="S11" s="42">
        <v>0</v>
      </c>
      <c r="T11" s="42">
        <v>0</v>
      </c>
    </row>
    <row r="12" spans="1:20" ht="19.5" thickBot="1" x14ac:dyDescent="0.4">
      <c r="F12" s="41" t="s">
        <v>313</v>
      </c>
      <c r="G12" s="42">
        <v>0</v>
      </c>
      <c r="H12" s="42">
        <v>0</v>
      </c>
      <c r="L12" s="41" t="s">
        <v>313</v>
      </c>
      <c r="M12" s="42">
        <v>0</v>
      </c>
      <c r="N12" s="42">
        <v>0</v>
      </c>
      <c r="R12" s="41" t="s">
        <v>312</v>
      </c>
      <c r="S12" s="42">
        <v>0</v>
      </c>
      <c r="T12" s="42">
        <v>0</v>
      </c>
    </row>
    <row r="13" spans="1:20" ht="19.5" thickBot="1" x14ac:dyDescent="0.4">
      <c r="F13" s="45" t="s">
        <v>314</v>
      </c>
      <c r="G13" s="45"/>
      <c r="H13" s="42" t="s">
        <v>315</v>
      </c>
      <c r="L13" s="45" t="s">
        <v>314</v>
      </c>
      <c r="M13" s="45"/>
      <c r="N13" s="42" t="s">
        <v>316</v>
      </c>
      <c r="R13" s="41" t="s">
        <v>313</v>
      </c>
      <c r="S13" s="42">
        <v>0</v>
      </c>
      <c r="T13" s="42">
        <v>0</v>
      </c>
    </row>
    <row r="14" spans="1:20" ht="19" x14ac:dyDescent="0.35">
      <c r="R14" s="45" t="s">
        <v>314</v>
      </c>
      <c r="S14" s="45"/>
      <c r="T14" s="42" t="s">
        <v>317</v>
      </c>
    </row>
    <row r="18" spans="6:14" x14ac:dyDescent="0.35">
      <c r="F18" t="str">
        <f>A8</f>
        <v>LET de St-Nicéphore</v>
      </c>
      <c r="L18" t="str">
        <f>A9</f>
        <v>LET de St-Thomas (Rive-Nord)</v>
      </c>
    </row>
    <row r="19" spans="6:14" ht="19.5" thickBot="1" x14ac:dyDescent="0.45">
      <c r="F19" s="38" t="s">
        <v>284</v>
      </c>
      <c r="G19" s="38" t="s">
        <v>285</v>
      </c>
      <c r="H19" s="38" t="s">
        <v>286</v>
      </c>
      <c r="L19" s="38" t="s">
        <v>284</v>
      </c>
      <c r="M19" s="38" t="s">
        <v>285</v>
      </c>
      <c r="N19" s="38" t="s">
        <v>286</v>
      </c>
    </row>
    <row r="20" spans="6:14" ht="20" thickTop="1" thickBot="1" x14ac:dyDescent="0.4">
      <c r="F20" s="41" t="s">
        <v>291</v>
      </c>
      <c r="G20" s="42" t="s">
        <v>318</v>
      </c>
      <c r="H20" s="42" t="s">
        <v>319</v>
      </c>
      <c r="L20" s="41" t="s">
        <v>291</v>
      </c>
      <c r="M20" s="42" t="s">
        <v>320</v>
      </c>
      <c r="N20" s="42" t="s">
        <v>321</v>
      </c>
    </row>
    <row r="21" spans="6:14" ht="19.5" thickBot="1" x14ac:dyDescent="0.4">
      <c r="F21" s="41" t="s">
        <v>298</v>
      </c>
      <c r="G21" s="42" t="s">
        <v>322</v>
      </c>
      <c r="H21" s="42" t="s">
        <v>323</v>
      </c>
      <c r="L21" s="41" t="s">
        <v>298</v>
      </c>
      <c r="M21" s="42" t="s">
        <v>324</v>
      </c>
      <c r="N21" s="42" t="s">
        <v>325</v>
      </c>
    </row>
    <row r="22" spans="6:14" ht="19.5" thickBot="1" x14ac:dyDescent="0.4">
      <c r="F22" s="41" t="s">
        <v>306</v>
      </c>
      <c r="G22" s="42">
        <v>0.39</v>
      </c>
      <c r="H22" s="42">
        <v>103</v>
      </c>
      <c r="L22" s="41" t="s">
        <v>306</v>
      </c>
      <c r="M22" s="42">
        <v>1.28</v>
      </c>
      <c r="N22" s="42">
        <v>338</v>
      </c>
    </row>
    <row r="23" spans="6:14" ht="19.5" thickBot="1" x14ac:dyDescent="0.4">
      <c r="F23" s="41" t="s">
        <v>311</v>
      </c>
      <c r="G23" s="42">
        <v>0</v>
      </c>
      <c r="H23" s="42">
        <v>0</v>
      </c>
      <c r="L23" s="41" t="s">
        <v>311</v>
      </c>
      <c r="M23" s="42">
        <v>0</v>
      </c>
      <c r="N23" s="42">
        <v>0</v>
      </c>
    </row>
    <row r="24" spans="6:14" ht="19.5" thickBot="1" x14ac:dyDescent="0.4">
      <c r="F24" s="41" t="s">
        <v>312</v>
      </c>
      <c r="G24" s="42">
        <v>0</v>
      </c>
      <c r="H24" s="42">
        <v>0</v>
      </c>
      <c r="L24" s="41" t="s">
        <v>312</v>
      </c>
      <c r="M24" s="42">
        <v>0</v>
      </c>
      <c r="N24" s="42">
        <v>0</v>
      </c>
    </row>
    <row r="25" spans="6:14" ht="19.5" thickBot="1" x14ac:dyDescent="0.4">
      <c r="F25" s="41" t="s">
        <v>313</v>
      </c>
      <c r="G25" s="42">
        <v>0</v>
      </c>
      <c r="H25" s="42">
        <v>0</v>
      </c>
      <c r="L25" s="41" t="s">
        <v>313</v>
      </c>
      <c r="M25" s="42">
        <v>0</v>
      </c>
      <c r="N25" s="42">
        <v>0</v>
      </c>
    </row>
    <row r="26" spans="6:14" ht="19" x14ac:dyDescent="0.35">
      <c r="F26" s="45" t="s">
        <v>314</v>
      </c>
      <c r="G26" s="45"/>
      <c r="H26" s="42" t="s">
        <v>326</v>
      </c>
      <c r="L26" s="45" t="s">
        <v>314</v>
      </c>
      <c r="M26" s="45"/>
      <c r="N26" s="42" t="s">
        <v>327</v>
      </c>
    </row>
    <row r="29" spans="6:14" x14ac:dyDescent="0.35">
      <c r="F29" t="str">
        <f>A10</f>
        <v>LET Roland Thibault Inc</v>
      </c>
    </row>
    <row r="30" spans="6:14" ht="19.5" thickBot="1" x14ac:dyDescent="0.45">
      <c r="F30" s="38" t="s">
        <v>284</v>
      </c>
      <c r="G30" s="38" t="s">
        <v>285</v>
      </c>
      <c r="H30" s="38" t="s">
        <v>286</v>
      </c>
    </row>
    <row r="31" spans="6:14" ht="15" thickTop="1" x14ac:dyDescent="0.35"/>
  </sheetData>
  <mergeCells count="5">
    <mergeCell ref="F13:G13"/>
    <mergeCell ref="L13:M13"/>
    <mergeCell ref="R14:S14"/>
    <mergeCell ref="F26:G26"/>
    <mergeCell ref="L26:M26"/>
  </mergeCells>
  <hyperlinks>
    <hyperlink ref="C5" r:id="rId1" xr:uid="{E71269C4-76DD-4131-A8B9-5E1BF12DF460}"/>
    <hyperlink ref="D5" r:id="rId2" display="https://pollution-waste.canada.ca/national-release-inventory/2023/6370" xr:uid="{EDC7F97D-34E5-4A02-B04D-0202197DF25C}"/>
    <hyperlink ref="C6" r:id="rId3" xr:uid="{3BACF308-B69E-409F-BC9C-4C78F3C375FE}"/>
    <hyperlink ref="D6" r:id="rId4" display="https://pollution-waste.canada.ca/national-release-inventory/2023/27915" xr:uid="{A2C8B3E7-BFC8-438A-97CD-A447199B072C}"/>
    <hyperlink ref="D7" r:id="rId5" display="https://pollution-waste.canada.ca/national-release-inventory/2023/6173" xr:uid="{944BC22D-3A40-420B-B716-E804BC3EE122}"/>
    <hyperlink ref="C7" r:id="rId6" xr:uid="{0B9A38D6-4A47-4A68-B6D3-F3BB30F89FC7}"/>
    <hyperlink ref="D8" r:id="rId7" display="https://pollution-waste.canada.ca/national-release-inventory/2023/6171" xr:uid="{8EC7C4FB-94C3-4B67-BCDD-D56555A9C4B7}"/>
    <hyperlink ref="C8" r:id="rId8" xr:uid="{C469E82F-E365-4740-8933-58B6B9EDDB78}"/>
    <hyperlink ref="C9" r:id="rId9" xr:uid="{6662CA29-13B4-4718-822E-5B06743316B2}"/>
    <hyperlink ref="D10" r:id="rId10" display="https://pollution-waste.canada.ca/national-release-inventory/2023/31585" xr:uid="{38A76467-7032-4C97-817F-CEF80CEEE1A1}"/>
    <hyperlink ref="C10" r:id="rId11" xr:uid="{77EAD469-2913-4E2D-A572-64B6A9DC7DB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5"/>
  <sheetViews>
    <sheetView workbookViewId="0">
      <selection activeCell="E11" sqref="E11"/>
    </sheetView>
  </sheetViews>
  <sheetFormatPr defaultRowHeight="14.5" x14ac:dyDescent="0.35"/>
  <cols>
    <col min="1" max="1" width="25" customWidth="1"/>
  </cols>
  <sheetData>
    <row r="1" spans="1:7" x14ac:dyDescent="0.35">
      <c r="A1" s="15" t="s">
        <v>83</v>
      </c>
      <c r="C1" t="s">
        <v>84</v>
      </c>
      <c r="D1" t="s">
        <v>85</v>
      </c>
    </row>
    <row r="3" spans="1:7" x14ac:dyDescent="0.35">
      <c r="A3" s="15" t="s">
        <v>86</v>
      </c>
      <c r="B3" s="15" t="s">
        <v>87</v>
      </c>
      <c r="C3" s="15" t="s">
        <v>88</v>
      </c>
      <c r="D3" s="15" t="s">
        <v>89</v>
      </c>
      <c r="E3" s="15" t="s">
        <v>90</v>
      </c>
      <c r="F3" s="15"/>
      <c r="G3" s="15"/>
    </row>
    <row r="4" spans="1:7" x14ac:dyDescent="0.35">
      <c r="A4" t="s">
        <v>18</v>
      </c>
      <c r="B4">
        <v>45</v>
      </c>
      <c r="C4" t="s">
        <v>91</v>
      </c>
      <c r="D4" t="s">
        <v>268</v>
      </c>
      <c r="E4" t="s">
        <v>270</v>
      </c>
    </row>
    <row r="5" spans="1:7" x14ac:dyDescent="0.35">
      <c r="A5" t="s">
        <v>20</v>
      </c>
      <c r="B5">
        <v>32</v>
      </c>
      <c r="C5" t="s">
        <v>91</v>
      </c>
      <c r="D5" t="s">
        <v>268</v>
      </c>
      <c r="E5" t="s">
        <v>270</v>
      </c>
    </row>
    <row r="6" spans="1:7" x14ac:dyDescent="0.35">
      <c r="A6" t="s">
        <v>21</v>
      </c>
      <c r="B6">
        <v>74</v>
      </c>
      <c r="C6" t="s">
        <v>91</v>
      </c>
      <c r="D6" t="s">
        <v>268</v>
      </c>
      <c r="E6" t="s">
        <v>270</v>
      </c>
    </row>
    <row r="7" spans="1:7" x14ac:dyDescent="0.35">
      <c r="A7" t="s">
        <v>22</v>
      </c>
      <c r="B7">
        <v>77.400000000000006</v>
      </c>
      <c r="C7" t="s">
        <v>91</v>
      </c>
      <c r="D7" t="s">
        <v>92</v>
      </c>
      <c r="E7" t="s">
        <v>269</v>
      </c>
    </row>
    <row r="8" spans="1:7" x14ac:dyDescent="0.35">
      <c r="A8" t="s">
        <v>23</v>
      </c>
      <c r="B8">
        <v>123</v>
      </c>
      <c r="C8" t="s">
        <v>91</v>
      </c>
      <c r="D8" t="s">
        <v>268</v>
      </c>
      <c r="E8" t="s">
        <v>270</v>
      </c>
    </row>
    <row r="9" spans="1:7" x14ac:dyDescent="0.35">
      <c r="A9" t="s">
        <v>24</v>
      </c>
      <c r="B9">
        <v>96</v>
      </c>
      <c r="C9" t="s">
        <v>91</v>
      </c>
      <c r="D9" t="s">
        <v>268</v>
      </c>
      <c r="E9" t="s">
        <v>270</v>
      </c>
    </row>
    <row r="10" spans="1:7" x14ac:dyDescent="0.35">
      <c r="A10" t="s">
        <v>25</v>
      </c>
      <c r="B10">
        <v>133</v>
      </c>
      <c r="C10" t="s">
        <v>91</v>
      </c>
      <c r="D10" t="s">
        <v>268</v>
      </c>
      <c r="E10" t="s">
        <v>270</v>
      </c>
    </row>
    <row r="11" spans="1:7" x14ac:dyDescent="0.35">
      <c r="A11" t="s">
        <v>26</v>
      </c>
      <c r="B11">
        <v>6</v>
      </c>
      <c r="C11" t="s">
        <v>91</v>
      </c>
      <c r="D11" t="s">
        <v>268</v>
      </c>
      <c r="E11" t="s">
        <v>270</v>
      </c>
    </row>
    <row r="12" spans="1:7" x14ac:dyDescent="0.35">
      <c r="A12" t="s">
        <v>27</v>
      </c>
      <c r="B12">
        <v>32</v>
      </c>
      <c r="C12" t="s">
        <v>91</v>
      </c>
      <c r="D12" t="s">
        <v>268</v>
      </c>
      <c r="E12" t="s">
        <v>270</v>
      </c>
    </row>
    <row r="13" spans="1:7" x14ac:dyDescent="0.35">
      <c r="A13" t="s">
        <v>28</v>
      </c>
      <c r="B13">
        <v>74</v>
      </c>
      <c r="C13" t="s">
        <v>91</v>
      </c>
      <c r="D13" t="s">
        <v>268</v>
      </c>
      <c r="E13" t="s">
        <v>270</v>
      </c>
    </row>
    <row r="14" spans="1:7" x14ac:dyDescent="0.35">
      <c r="A14" t="s">
        <v>29</v>
      </c>
      <c r="B14">
        <v>0</v>
      </c>
      <c r="C14" t="s">
        <v>91</v>
      </c>
      <c r="D14" t="s">
        <v>268</v>
      </c>
      <c r="E14" t="s">
        <v>270</v>
      </c>
    </row>
    <row r="15" spans="1:7" x14ac:dyDescent="0.35">
      <c r="A15" t="s">
        <v>30</v>
      </c>
      <c r="B15">
        <v>0</v>
      </c>
      <c r="C15" t="s">
        <v>91</v>
      </c>
      <c r="D15" t="s">
        <v>268</v>
      </c>
      <c r="E1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8782-21FA-4298-8CD2-04BF34B30789}">
  <dimension ref="A1:F20"/>
  <sheetViews>
    <sheetView zoomScale="54" workbookViewId="0">
      <selection activeCell="H13" sqref="H13"/>
    </sheetView>
  </sheetViews>
  <sheetFormatPr defaultRowHeight="14.5" x14ac:dyDescent="0.35"/>
  <sheetData>
    <row r="1" spans="1:6" x14ac:dyDescent="0.35">
      <c r="A1" s="3" t="s">
        <v>94</v>
      </c>
    </row>
    <row r="2" spans="1:6" ht="15" thickBot="1" x14ac:dyDescent="0.4">
      <c r="A2" s="16" t="s">
        <v>95</v>
      </c>
      <c r="B2" s="16" t="s">
        <v>96</v>
      </c>
      <c r="C2" s="16" t="s">
        <v>97</v>
      </c>
      <c r="D2" s="17" t="s">
        <v>98</v>
      </c>
      <c r="E2" s="16" t="s">
        <v>99</v>
      </c>
      <c r="F2" s="18" t="s">
        <v>97</v>
      </c>
    </row>
    <row r="3" spans="1:6" x14ac:dyDescent="0.35">
      <c r="A3" s="3" t="s">
        <v>100</v>
      </c>
      <c r="B3" t="s">
        <v>101</v>
      </c>
      <c r="C3" t="s">
        <v>82</v>
      </c>
      <c r="D3">
        <f>D4*D5*(1-D6)*(D7*(1-D8)/D9)</f>
        <v>87.325775070989351</v>
      </c>
    </row>
    <row r="4" spans="1:6" x14ac:dyDescent="0.35">
      <c r="A4" t="s">
        <v>102</v>
      </c>
      <c r="B4" t="s">
        <v>103</v>
      </c>
      <c r="D4" s="10">
        <v>3676.0683760683701</v>
      </c>
    </row>
    <row r="5" spans="1:6" x14ac:dyDescent="0.35">
      <c r="A5" t="s">
        <v>104</v>
      </c>
      <c r="D5">
        <v>0.49222092828706998</v>
      </c>
      <c r="E5" t="s">
        <v>105</v>
      </c>
    </row>
    <row r="6" spans="1:6" x14ac:dyDescent="0.35">
      <c r="A6" t="s">
        <v>106</v>
      </c>
      <c r="D6">
        <v>0.03</v>
      </c>
      <c r="E6" s="19">
        <v>0.01</v>
      </c>
    </row>
    <row r="7" spans="1:6" x14ac:dyDescent="0.35">
      <c r="A7" t="s">
        <v>107</v>
      </c>
      <c r="B7" t="s">
        <v>108</v>
      </c>
      <c r="D7">
        <v>0.15403929282883699</v>
      </c>
    </row>
    <row r="8" spans="1:6" x14ac:dyDescent="0.35">
      <c r="A8" t="s">
        <v>109</v>
      </c>
      <c r="D8">
        <v>0.64395916871050696</v>
      </c>
    </row>
    <row r="9" spans="1:6" x14ac:dyDescent="0.35">
      <c r="A9" t="s">
        <v>110</v>
      </c>
      <c r="D9">
        <v>1.1023113109243901</v>
      </c>
      <c r="E9" t="s">
        <v>111</v>
      </c>
    </row>
    <row r="10" spans="1:6" x14ac:dyDescent="0.35">
      <c r="A10" t="s">
        <v>112</v>
      </c>
      <c r="D10">
        <v>1012</v>
      </c>
      <c r="E10" t="s">
        <v>113</v>
      </c>
    </row>
    <row r="11" spans="1:6" x14ac:dyDescent="0.35">
      <c r="A11" t="s">
        <v>114</v>
      </c>
      <c r="D11">
        <v>0.85</v>
      </c>
      <c r="E11" t="s">
        <v>115</v>
      </c>
    </row>
    <row r="12" spans="1:6" x14ac:dyDescent="0.35">
      <c r="A12" t="s">
        <v>116</v>
      </c>
      <c r="D12">
        <v>20</v>
      </c>
      <c r="E12" t="s">
        <v>117</v>
      </c>
    </row>
    <row r="13" spans="1:6" x14ac:dyDescent="0.35">
      <c r="A13" t="s">
        <v>118</v>
      </c>
      <c r="D13" s="10">
        <v>8.5470085470085402E-5</v>
      </c>
      <c r="E13" t="s">
        <v>119</v>
      </c>
    </row>
    <row r="14" spans="1:6" x14ac:dyDescent="0.35">
      <c r="A14" t="s">
        <v>120</v>
      </c>
      <c r="D14">
        <v>25</v>
      </c>
      <c r="E14" t="s">
        <v>121</v>
      </c>
    </row>
    <row r="15" spans="1:6" x14ac:dyDescent="0.35">
      <c r="A15" s="3" t="s">
        <v>122</v>
      </c>
      <c r="B15" t="s">
        <v>123</v>
      </c>
      <c r="D15">
        <f>D16 *(1-D8)/D9</f>
        <v>8.0744333056655251E-2</v>
      </c>
      <c r="E15" t="s">
        <v>124</v>
      </c>
    </row>
    <row r="16" spans="1:6" x14ac:dyDescent="0.35">
      <c r="A16" t="s">
        <v>125</v>
      </c>
      <c r="B16" t="s">
        <v>126</v>
      </c>
      <c r="D16">
        <v>0.249986472897059</v>
      </c>
    </row>
    <row r="17" spans="1:5" x14ac:dyDescent="0.35">
      <c r="A17" t="s">
        <v>127</v>
      </c>
      <c r="D17">
        <v>3.6666666666666701</v>
      </c>
      <c r="E17" t="s">
        <v>128</v>
      </c>
    </row>
    <row r="19" spans="1:5" x14ac:dyDescent="0.35">
      <c r="A19" s="3" t="s">
        <v>129</v>
      </c>
      <c r="B19" t="s">
        <v>130</v>
      </c>
      <c r="D19">
        <f>D20*D7*(1-D8)/D9</f>
        <v>1.8120514032696062E-2</v>
      </c>
      <c r="E19" t="s">
        <v>124</v>
      </c>
    </row>
    <row r="20" spans="1:5" x14ac:dyDescent="0.35">
      <c r="A20" t="s">
        <v>131</v>
      </c>
      <c r="D20">
        <v>0.36420294611850601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3:I13"/>
  <sheetViews>
    <sheetView workbookViewId="0">
      <selection activeCell="G11" sqref="G11"/>
    </sheetView>
  </sheetViews>
  <sheetFormatPr defaultRowHeight="14.5" x14ac:dyDescent="0.35"/>
  <cols>
    <col min="1" max="1" width="25" customWidth="1"/>
    <col min="2" max="2" width="13.453125" customWidth="1"/>
  </cols>
  <sheetData>
    <row r="3" spans="1:9" x14ac:dyDescent="0.35">
      <c r="B3" t="s">
        <v>150</v>
      </c>
      <c r="C3" t="s">
        <v>88</v>
      </c>
      <c r="D3" t="s">
        <v>139</v>
      </c>
    </row>
    <row r="4" spans="1:9" x14ac:dyDescent="0.35">
      <c r="A4" t="s">
        <v>151</v>
      </c>
      <c r="B4">
        <v>18.63</v>
      </c>
      <c r="C4" t="s">
        <v>152</v>
      </c>
    </row>
    <row r="5" spans="1:9" x14ac:dyDescent="0.35">
      <c r="A5" t="s">
        <v>153</v>
      </c>
      <c r="B5">
        <v>38.32</v>
      </c>
      <c r="C5" t="s">
        <v>152</v>
      </c>
    </row>
    <row r="6" spans="1:9" x14ac:dyDescent="0.35">
      <c r="A6" t="s">
        <v>154</v>
      </c>
      <c r="B6">
        <f>B4/B5</f>
        <v>0.48616910229645088</v>
      </c>
      <c r="C6" t="s">
        <v>155</v>
      </c>
    </row>
    <row r="7" spans="1:9" ht="29" x14ac:dyDescent="0.35">
      <c r="A7" s="21" t="s">
        <v>156</v>
      </c>
      <c r="B7">
        <v>2579984</v>
      </c>
      <c r="C7" t="s">
        <v>136</v>
      </c>
      <c r="D7" t="s">
        <v>159</v>
      </c>
    </row>
    <row r="8" spans="1:9" x14ac:dyDescent="0.35">
      <c r="A8" t="s">
        <v>157</v>
      </c>
      <c r="B8">
        <v>60000</v>
      </c>
      <c r="C8" t="s">
        <v>158</v>
      </c>
      <c r="D8" t="s">
        <v>173</v>
      </c>
    </row>
    <row r="9" spans="1:9" ht="29" x14ac:dyDescent="0.35">
      <c r="A9" s="21" t="s">
        <v>184</v>
      </c>
      <c r="B9">
        <v>400.27962588855576</v>
      </c>
      <c r="C9" t="s">
        <v>185</v>
      </c>
    </row>
    <row r="10" spans="1:9" ht="29" x14ac:dyDescent="0.35">
      <c r="A10" s="21" t="s">
        <v>266</v>
      </c>
      <c r="B10">
        <f>B7/B8</f>
        <v>42.999733333333332</v>
      </c>
      <c r="C10" t="s">
        <v>185</v>
      </c>
    </row>
    <row r="11" spans="1:9" x14ac:dyDescent="0.35">
      <c r="G11">
        <f>2649/B9</f>
        <v>6.6178736779811116</v>
      </c>
      <c r="H11" t="s">
        <v>152</v>
      </c>
      <c r="I11" t="s">
        <v>267</v>
      </c>
    </row>
    <row r="12" spans="1:9" x14ac:dyDescent="0.35">
      <c r="A12" t="s">
        <v>186</v>
      </c>
      <c r="B12">
        <f>B7*B6/B8</f>
        <v>20.905141753653442</v>
      </c>
      <c r="C12" t="s">
        <v>160</v>
      </c>
    </row>
    <row r="13" spans="1:9" x14ac:dyDescent="0.35">
      <c r="A13" t="s">
        <v>187</v>
      </c>
      <c r="B13">
        <f>B9*B6</f>
        <v>194.60358638579837</v>
      </c>
      <c r="C13" t="s">
        <v>160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1:Q54"/>
  <sheetViews>
    <sheetView topLeftCell="A28" workbookViewId="0">
      <selection activeCell="E67" sqref="E67"/>
    </sheetView>
  </sheetViews>
  <sheetFormatPr defaultRowHeight="14.5" x14ac:dyDescent="0.35"/>
  <cols>
    <col min="1" max="1" width="19.54296875" customWidth="1"/>
    <col min="3" max="5" width="24" customWidth="1"/>
    <col min="6" max="6" width="17.54296875" customWidth="1"/>
    <col min="9" max="9" width="47.26953125" customWidth="1"/>
    <col min="10" max="10" width="46.81640625" customWidth="1"/>
  </cols>
  <sheetData>
    <row r="1" spans="1:17" x14ac:dyDescent="0.35">
      <c r="C1" t="s">
        <v>218</v>
      </c>
      <c r="D1" t="s">
        <v>331</v>
      </c>
      <c r="F1" t="s">
        <v>213</v>
      </c>
    </row>
    <row r="2" spans="1:17" x14ac:dyDescent="0.35">
      <c r="C2" t="s">
        <v>219</v>
      </c>
      <c r="D2" s="19">
        <v>0.23</v>
      </c>
      <c r="E2" t="s">
        <v>214</v>
      </c>
      <c r="F2" s="19">
        <v>0.81</v>
      </c>
      <c r="G2" t="s">
        <v>214</v>
      </c>
    </row>
    <row r="3" spans="1:17" x14ac:dyDescent="0.35">
      <c r="A3">
        <v>1</v>
      </c>
      <c r="B3" t="s">
        <v>145</v>
      </c>
      <c r="D3">
        <v>1</v>
      </c>
      <c r="E3" t="s">
        <v>145</v>
      </c>
      <c r="F3">
        <v>1</v>
      </c>
      <c r="G3" t="s">
        <v>217</v>
      </c>
      <c r="I3" t="s">
        <v>132</v>
      </c>
      <c r="J3" t="s">
        <v>166</v>
      </c>
      <c r="K3" t="s">
        <v>54</v>
      </c>
      <c r="L3">
        <f>'Fertilizer credit for compost'!A15</f>
        <v>0.29528799999999999</v>
      </c>
      <c r="M3" t="s">
        <v>135</v>
      </c>
      <c r="N3" t="s">
        <v>140</v>
      </c>
      <c r="O3" t="s">
        <v>68</v>
      </c>
      <c r="Q3" t="s">
        <v>33</v>
      </c>
    </row>
    <row r="4" spans="1:17" x14ac:dyDescent="0.35">
      <c r="A4">
        <v>2.5</v>
      </c>
      <c r="B4" t="s">
        <v>146</v>
      </c>
      <c r="C4">
        <v>1</v>
      </c>
      <c r="D4">
        <f>D3/(1-D2)</f>
        <v>1.2987012987012987</v>
      </c>
      <c r="E4" t="s">
        <v>146</v>
      </c>
      <c r="F4">
        <f>F3/(1-F2)</f>
        <v>5.2631578947368434</v>
      </c>
      <c r="G4" t="s">
        <v>216</v>
      </c>
      <c r="I4" t="s">
        <v>133</v>
      </c>
      <c r="J4" t="s">
        <v>167</v>
      </c>
      <c r="K4" t="s">
        <v>54</v>
      </c>
      <c r="L4">
        <f>'Fertilizer credit for compost'!A13</f>
        <v>0.168736</v>
      </c>
      <c r="M4" t="s">
        <v>135</v>
      </c>
      <c r="N4" t="s">
        <v>140</v>
      </c>
      <c r="O4" t="s">
        <v>68</v>
      </c>
      <c r="Q4" t="s">
        <v>33</v>
      </c>
    </row>
    <row r="5" spans="1:17" x14ac:dyDescent="0.35">
      <c r="A5">
        <v>4</v>
      </c>
      <c r="B5" t="s">
        <v>142</v>
      </c>
      <c r="C5">
        <f>13*0.4536</f>
        <v>5.8967999999999998</v>
      </c>
      <c r="D5">
        <f>6190/1000</f>
        <v>6.19</v>
      </c>
      <c r="E5" t="s">
        <v>142</v>
      </c>
      <c r="F5">
        <f>75000*(1000/(10^6))</f>
        <v>75</v>
      </c>
      <c r="G5" t="s">
        <v>142</v>
      </c>
      <c r="I5" t="s">
        <v>134</v>
      </c>
      <c r="J5" t="s">
        <v>168</v>
      </c>
      <c r="K5" t="s">
        <v>54</v>
      </c>
      <c r="L5">
        <f>'Fertilizer credit for compost'!A14</f>
        <v>0.253104</v>
      </c>
      <c r="M5" t="s">
        <v>135</v>
      </c>
      <c r="N5" t="s">
        <v>140</v>
      </c>
      <c r="O5" t="s">
        <v>68</v>
      </c>
      <c r="Q5" t="s">
        <v>33</v>
      </c>
    </row>
    <row r="6" spans="1:17" x14ac:dyDescent="0.35">
      <c r="A6">
        <v>6</v>
      </c>
      <c r="B6" t="s">
        <v>143</v>
      </c>
      <c r="C6">
        <f>16*0.4536</f>
        <v>7.2576000000000001</v>
      </c>
      <c r="D6">
        <f>9710/1000</f>
        <v>9.7100000000000009</v>
      </c>
      <c r="E6" t="s">
        <v>143</v>
      </c>
      <c r="F6">
        <f>6500*(1000/(10^6))</f>
        <v>6.5</v>
      </c>
      <c r="G6" t="s">
        <v>143</v>
      </c>
    </row>
    <row r="7" spans="1:17" x14ac:dyDescent="0.35">
      <c r="A7">
        <v>7</v>
      </c>
      <c r="B7" t="s">
        <v>144</v>
      </c>
      <c r="C7">
        <f>48.8*0.4536</f>
        <v>22.135679999999997</v>
      </c>
      <c r="D7">
        <f>17/1000</f>
        <v>1.7000000000000001E-2</v>
      </c>
      <c r="E7" t="s">
        <v>332</v>
      </c>
      <c r="F7">
        <f>71000*(1000/(10^6))</f>
        <v>71</v>
      </c>
      <c r="G7" t="s">
        <v>215</v>
      </c>
    </row>
    <row r="9" spans="1:17" x14ac:dyDescent="0.35">
      <c r="A9" t="s">
        <v>139</v>
      </c>
      <c r="B9" t="s">
        <v>141</v>
      </c>
    </row>
    <row r="10" spans="1:17" x14ac:dyDescent="0.35">
      <c r="A10" s="3" t="s">
        <v>138</v>
      </c>
    </row>
    <row r="11" spans="1:17" x14ac:dyDescent="0.35">
      <c r="A11">
        <v>1</v>
      </c>
      <c r="B11" t="s">
        <v>147</v>
      </c>
    </row>
    <row r="12" spans="1:17" x14ac:dyDescent="0.35">
      <c r="A12">
        <v>0.10546</v>
      </c>
      <c r="B12" t="s">
        <v>146</v>
      </c>
    </row>
    <row r="13" spans="1:17" x14ac:dyDescent="0.35">
      <c r="A13">
        <f>$A$12/$A$4*A5</f>
        <v>0.168736</v>
      </c>
      <c r="B13" t="s">
        <v>142</v>
      </c>
    </row>
    <row r="14" spans="1:17" x14ac:dyDescent="0.35">
      <c r="A14">
        <f>$A$12/$A$4*A6</f>
        <v>0.253104</v>
      </c>
      <c r="B14" t="s">
        <v>143</v>
      </c>
    </row>
    <row r="15" spans="1:17" x14ac:dyDescent="0.35">
      <c r="A15">
        <f t="shared" ref="A15" si="0">$A$12/$A$4*A7</f>
        <v>0.29528799999999999</v>
      </c>
      <c r="B15" t="s">
        <v>144</v>
      </c>
    </row>
    <row r="19" spans="1:17" x14ac:dyDescent="0.35">
      <c r="A19" s="3" t="s">
        <v>148</v>
      </c>
    </row>
    <row r="20" spans="1:17" x14ac:dyDescent="0.35">
      <c r="A20">
        <v>1</v>
      </c>
      <c r="B20" t="s">
        <v>147</v>
      </c>
      <c r="I20" t="s">
        <v>132</v>
      </c>
      <c r="J20" t="s">
        <v>166</v>
      </c>
      <c r="K20" t="s">
        <v>54</v>
      </c>
      <c r="L20">
        <v>1.7808000000000002</v>
      </c>
      <c r="M20" t="s">
        <v>135</v>
      </c>
      <c r="N20" t="s">
        <v>140</v>
      </c>
      <c r="O20" t="s">
        <v>68</v>
      </c>
      <c r="Q20" t="s">
        <v>33</v>
      </c>
    </row>
    <row r="21" spans="1:17" x14ac:dyDescent="0.35">
      <c r="A21">
        <v>0.63600000000000001</v>
      </c>
      <c r="B21" t="s">
        <v>146</v>
      </c>
      <c r="I21" t="s">
        <v>133</v>
      </c>
      <c r="J21" t="s">
        <v>167</v>
      </c>
      <c r="K21" t="s">
        <v>54</v>
      </c>
      <c r="L21">
        <v>1.0176000000000001</v>
      </c>
      <c r="M21" t="s">
        <v>135</v>
      </c>
      <c r="N21" t="s">
        <v>140</v>
      </c>
      <c r="O21" t="s">
        <v>68</v>
      </c>
      <c r="Q21" t="s">
        <v>33</v>
      </c>
    </row>
    <row r="22" spans="1:17" x14ac:dyDescent="0.35">
      <c r="A22">
        <f>$A$21/$A$4*A5</f>
        <v>1.0176000000000001</v>
      </c>
      <c r="B22" t="s">
        <v>142</v>
      </c>
      <c r="I22" t="s">
        <v>134</v>
      </c>
      <c r="J22" t="s">
        <v>168</v>
      </c>
      <c r="K22" t="s">
        <v>54</v>
      </c>
      <c r="L22">
        <v>1.5264000000000002</v>
      </c>
      <c r="M22" t="s">
        <v>135</v>
      </c>
      <c r="N22" t="s">
        <v>140</v>
      </c>
      <c r="O22" t="s">
        <v>68</v>
      </c>
      <c r="Q22" t="s">
        <v>33</v>
      </c>
    </row>
    <row r="23" spans="1:17" x14ac:dyDescent="0.35">
      <c r="A23">
        <f>$A$21/$A$4*A6</f>
        <v>1.5264000000000002</v>
      </c>
      <c r="B23" t="s">
        <v>143</v>
      </c>
    </row>
    <row r="24" spans="1:17" x14ac:dyDescent="0.35">
      <c r="A24">
        <f>$A$21/$A$4*A7</f>
        <v>1.7808000000000002</v>
      </c>
      <c r="B24" t="s">
        <v>144</v>
      </c>
    </row>
    <row r="27" spans="1:17" x14ac:dyDescent="0.35">
      <c r="A27" t="s">
        <v>211</v>
      </c>
    </row>
    <row r="28" spans="1:17" x14ac:dyDescent="0.35">
      <c r="A28" t="s">
        <v>212</v>
      </c>
    </row>
    <row r="29" spans="1:17" x14ac:dyDescent="0.35">
      <c r="A29">
        <v>1</v>
      </c>
      <c r="B29" t="s">
        <v>147</v>
      </c>
    </row>
    <row r="30" spans="1:17" x14ac:dyDescent="0.35">
      <c r="A30">
        <v>0.10546</v>
      </c>
      <c r="B30" t="s">
        <v>146</v>
      </c>
    </row>
    <row r="31" spans="1:17" x14ac:dyDescent="0.35">
      <c r="A31">
        <f>A30*C7</f>
        <v>2.3344288127999997</v>
      </c>
      <c r="B31" t="s">
        <v>144</v>
      </c>
    </row>
    <row r="32" spans="1:17" x14ac:dyDescent="0.35">
      <c r="A32">
        <f>A30*C5</f>
        <v>0.62187652799999993</v>
      </c>
      <c r="B32" t="s">
        <v>142</v>
      </c>
    </row>
    <row r="33" spans="1:12" x14ac:dyDescent="0.35">
      <c r="A33">
        <f>A30/C6</f>
        <v>1.453097442680776E-2</v>
      </c>
      <c r="B33" t="s">
        <v>143</v>
      </c>
    </row>
    <row r="35" spans="1:12" x14ac:dyDescent="0.35">
      <c r="A35" t="s">
        <v>213</v>
      </c>
    </row>
    <row r="36" spans="1:12" x14ac:dyDescent="0.35">
      <c r="A36">
        <v>1</v>
      </c>
      <c r="B36" t="s">
        <v>147</v>
      </c>
    </row>
    <row r="37" spans="1:12" x14ac:dyDescent="0.35">
      <c r="A37">
        <v>0.23499999999999999</v>
      </c>
      <c r="B37" t="s">
        <v>216</v>
      </c>
    </row>
    <row r="38" spans="1:12" x14ac:dyDescent="0.35">
      <c r="A38">
        <f>A37/F4*F7</f>
        <v>3.1701499999999991</v>
      </c>
      <c r="B38" t="s">
        <v>144</v>
      </c>
    </row>
    <row r="39" spans="1:12" x14ac:dyDescent="0.35">
      <c r="A39">
        <f>A37/F4*F5</f>
        <v>3.348749999999999</v>
      </c>
      <c r="B39" t="s">
        <v>142</v>
      </c>
    </row>
    <row r="40" spans="1:12" x14ac:dyDescent="0.35">
      <c r="A40">
        <f>A37/F4*F6</f>
        <v>0.2902249999999999</v>
      </c>
      <c r="B40" t="s">
        <v>143</v>
      </c>
    </row>
    <row r="42" spans="1:12" x14ac:dyDescent="0.35">
      <c r="A42" t="s">
        <v>229</v>
      </c>
      <c r="I42" t="s">
        <v>132</v>
      </c>
      <c r="K42" t="s">
        <v>210</v>
      </c>
      <c r="L42">
        <v>497.44002600000005</v>
      </c>
    </row>
    <row r="43" spans="1:12" x14ac:dyDescent="0.35">
      <c r="A43">
        <v>1</v>
      </c>
      <c r="B43" t="str">
        <f>B36</f>
        <v>t OW</v>
      </c>
      <c r="I43" t="s">
        <v>133</v>
      </c>
      <c r="K43" t="s">
        <v>210</v>
      </c>
      <c r="L43">
        <v>181126.69182000001</v>
      </c>
    </row>
    <row r="44" spans="1:12" x14ac:dyDescent="0.35">
      <c r="A44">
        <v>0.17406035597096547</v>
      </c>
      <c r="B44" t="str">
        <f>B30</f>
        <v>t wet compost</v>
      </c>
      <c r="C44">
        <f>A44*1000</f>
        <v>174.06035597096547</v>
      </c>
      <c r="I44" t="s">
        <v>134</v>
      </c>
      <c r="K44" t="s">
        <v>210</v>
      </c>
      <c r="L44">
        <v>284126.03838000004</v>
      </c>
    </row>
    <row r="45" spans="1:12" x14ac:dyDescent="0.35">
      <c r="A45">
        <f>A44*C7</f>
        <v>3.8529443404593806</v>
      </c>
      <c r="B45" t="s">
        <v>144</v>
      </c>
    </row>
    <row r="46" spans="1:12" x14ac:dyDescent="0.35">
      <c r="A46">
        <f>A44*C5</f>
        <v>1.0263991070895893</v>
      </c>
      <c r="B46" t="s">
        <v>142</v>
      </c>
    </row>
    <row r="47" spans="1:12" x14ac:dyDescent="0.35">
      <c r="A47">
        <f>A44*C6</f>
        <v>1.263260439494879</v>
      </c>
      <c r="B47" t="s">
        <v>143</v>
      </c>
    </row>
    <row r="50" spans="1:2" x14ac:dyDescent="0.35">
      <c r="A50" t="s">
        <v>331</v>
      </c>
      <c r="B50" t="s">
        <v>333</v>
      </c>
    </row>
    <row r="51" spans="1:2" x14ac:dyDescent="0.35">
      <c r="A51">
        <v>0.37593223348697724</v>
      </c>
      <c r="B51" t="s">
        <v>146</v>
      </c>
    </row>
    <row r="52" spans="1:2" x14ac:dyDescent="0.35">
      <c r="A52">
        <f>(A51*D7)/D4</f>
        <v>4.9209529363445324E-3</v>
      </c>
      <c r="B52" t="s">
        <v>144</v>
      </c>
    </row>
    <row r="53" spans="1:2" x14ac:dyDescent="0.35">
      <c r="A53">
        <f>(A51*D5)/D4</f>
        <v>1.79180580446898</v>
      </c>
      <c r="B53" t="s">
        <v>142</v>
      </c>
    </row>
    <row r="54" spans="1:2" x14ac:dyDescent="0.35">
      <c r="A54">
        <f>(A51*D6)/D4</f>
        <v>2.8107325301120829</v>
      </c>
      <c r="B5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LCI</vt:lpstr>
      <vt:lpstr>Comparing models</vt:lpstr>
      <vt:lpstr>GHGRP Landfill Gas Inventory</vt:lpstr>
      <vt:lpstr>Transportation</vt:lpstr>
      <vt:lpstr>Landfill Equations (WARM)</vt:lpstr>
      <vt:lpstr>Natural gas credit</vt:lpstr>
      <vt:lpstr>Fertilizer credit for compost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2025-10-22T14:34:17Z</dcterms:modified>
</cp:coreProperties>
</file>