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macdo55\Downloads\Jupyter Notebooks\"/>
    </mc:Choice>
  </mc:AlternateContent>
  <xr:revisionPtr revIDLastSave="0" documentId="13_ncr:1_{92C8131E-0370-4679-8FF3-A1893CF53D5E}" xr6:coauthVersionLast="47" xr6:coauthVersionMax="47" xr10:uidLastSave="{00000000-0000-0000-0000-000000000000}"/>
  <bookViews>
    <workbookView xWindow="-28920" yWindow="1815" windowWidth="29040" windowHeight="15720" xr2:uid="{00000000-000D-0000-FFFF-FFFF00000000}"/>
  </bookViews>
  <sheets>
    <sheet name="LCI" sheetId="1" r:id="rId1"/>
    <sheet name="Comparing models" sheetId="6" r:id="rId2"/>
    <sheet name="Transportation" sheetId="2" r:id="rId3"/>
    <sheet name="Landfill Equations (WARM)" sheetId="3" r:id="rId4"/>
    <sheet name="Natural gas credit" sheetId="5" r:id="rId5"/>
    <sheet name="Fertilizer credit for compost" sheetId="4" r:id="rId6"/>
    <sheet name="Boldrin" sheetId="7" r:id="rId7"/>
    <sheet name="Result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87" i="1" l="1"/>
  <c r="A749" i="1"/>
  <c r="D699" i="1"/>
  <c r="A729" i="1"/>
  <c r="A695" i="1"/>
  <c r="D680" i="1"/>
  <c r="A663" i="1"/>
  <c r="D399" i="1"/>
  <c r="B18" i="5"/>
  <c r="B17" i="5"/>
  <c r="B16" i="5"/>
  <c r="B15" i="5"/>
  <c r="B9" i="5"/>
  <c r="B8" i="5"/>
  <c r="G14" i="5"/>
  <c r="B13" i="5"/>
  <c r="N7" i="8"/>
  <c r="AQ6" i="8"/>
  <c r="AJ7" i="8" l="1"/>
  <c r="AJ5" i="8"/>
  <c r="AJ12" i="8"/>
  <c r="AJ11" i="8"/>
  <c r="AB5" i="8"/>
  <c r="AC5" i="8" s="1"/>
  <c r="AB6" i="8"/>
  <c r="AC6" i="8" s="1"/>
  <c r="AB7" i="8"/>
  <c r="AB25" i="8" s="1"/>
  <c r="AB8" i="8"/>
  <c r="AC8" i="8" s="1"/>
  <c r="AB9" i="8"/>
  <c r="AC9" i="8" s="1"/>
  <c r="AB10" i="8"/>
  <c r="AB11" i="8"/>
  <c r="AB12" i="8"/>
  <c r="AB13" i="8"/>
  <c r="AB14" i="8"/>
  <c r="AB15" i="8"/>
  <c r="AB16" i="8"/>
  <c r="AB17" i="8"/>
  <c r="AB18" i="8"/>
  <c r="AB19" i="8"/>
  <c r="AB20" i="8"/>
  <c r="AB4" i="8"/>
  <c r="AB21" i="8"/>
  <c r="AB22" i="8"/>
  <c r="AB23" i="8"/>
  <c r="AB24" i="8"/>
  <c r="U11" i="8"/>
  <c r="U12" i="8"/>
  <c r="U13" i="8"/>
  <c r="C44" i="4"/>
  <c r="A555" i="1"/>
  <c r="A572" i="1"/>
  <c r="A589" i="1"/>
  <c r="A608" i="1"/>
  <c r="A625" i="1"/>
  <c r="A642" i="1"/>
  <c r="E24" i="6"/>
  <c r="AD24" i="8" l="1"/>
  <c r="AC4" i="8"/>
  <c r="AC10" i="8"/>
  <c r="AC11" i="8"/>
  <c r="AC7" i="8"/>
  <c r="D179" i="1"/>
  <c r="D206" i="1"/>
  <c r="D233" i="1"/>
  <c r="D254" i="1"/>
  <c r="D643" i="1"/>
  <c r="D626" i="1"/>
  <c r="D609" i="1"/>
  <c r="D590" i="1"/>
  <c r="D573" i="1"/>
  <c r="D556" i="1"/>
  <c r="D540" i="1" l="1"/>
  <c r="D521" i="1"/>
  <c r="D509" i="1"/>
  <c r="D508" i="1"/>
  <c r="D507" i="1"/>
  <c r="D506" i="1"/>
  <c r="D505" i="1"/>
  <c r="G493" i="1"/>
  <c r="D489" i="1"/>
  <c r="D472" i="1"/>
  <c r="E21" i="6"/>
  <c r="E23" i="6"/>
  <c r="E22" i="6"/>
  <c r="D455" i="1"/>
  <c r="F539" i="1"/>
  <c r="A539" i="1"/>
  <c r="F520" i="1"/>
  <c r="A520" i="1"/>
  <c r="F504" i="1"/>
  <c r="A504" i="1"/>
  <c r="F488" i="1"/>
  <c r="A488" i="1"/>
  <c r="F471" i="1"/>
  <c r="A471" i="1"/>
  <c r="F454" i="1"/>
  <c r="A454" i="1"/>
  <c r="A435" i="1"/>
  <c r="D438" i="1"/>
  <c r="A47" i="4"/>
  <c r="A46" i="4"/>
  <c r="A45" i="4"/>
  <c r="D402" i="1"/>
  <c r="D401" i="1"/>
  <c r="D400" i="1"/>
  <c r="A39" i="4"/>
  <c r="B44" i="4"/>
  <c r="B43" i="4"/>
  <c r="D365" i="1"/>
  <c r="D390" i="1"/>
  <c r="D392" i="1" s="1"/>
  <c r="A382" i="1"/>
  <c r="A356" i="1"/>
  <c r="A44" i="1"/>
  <c r="A325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F325" i="1"/>
  <c r="E325" i="1"/>
  <c r="E326" i="1" s="1"/>
  <c r="D4" i="4"/>
  <c r="A33" i="4"/>
  <c r="A31" i="4"/>
  <c r="A32" i="4"/>
  <c r="A40" i="4"/>
  <c r="A38" i="4"/>
  <c r="A22" i="4"/>
  <c r="C7" i="4"/>
  <c r="C6" i="4"/>
  <c r="C5" i="4"/>
  <c r="A24" i="4"/>
  <c r="D5" i="4"/>
  <c r="D6" i="4"/>
  <c r="D7" i="4"/>
  <c r="G32" i="6" l="1"/>
  <c r="D62" i="1" l="1"/>
  <c r="G114" i="1"/>
  <c r="G164" i="1"/>
  <c r="D149" i="1"/>
  <c r="D132" i="1" s="1"/>
  <c r="D130" i="1"/>
  <c r="D74" i="1"/>
  <c r="D166" i="1" l="1"/>
  <c r="F11" i="6" l="1"/>
  <c r="D21" i="1" l="1"/>
  <c r="D22" i="1"/>
  <c r="D23" i="1"/>
  <c r="F304" i="1"/>
  <c r="E276" i="1" l="1"/>
  <c r="E304" i="1" l="1"/>
  <c r="E305" i="1" s="1"/>
  <c r="A304" i="1" l="1"/>
  <c r="D160" i="1"/>
  <c r="F159" i="1"/>
  <c r="A159" i="1"/>
  <c r="D143" i="1"/>
  <c r="F142" i="1"/>
  <c r="A142" i="1"/>
  <c r="D107" i="1"/>
  <c r="D90" i="1"/>
  <c r="F106" i="1"/>
  <c r="A106" i="1"/>
  <c r="A89" i="1"/>
  <c r="F89" i="1"/>
  <c r="D126" i="1"/>
  <c r="D73" i="1"/>
  <c r="E44" i="1"/>
  <c r="E45" i="1" s="1"/>
  <c r="F176" i="1" l="1"/>
  <c r="A176" i="1"/>
  <c r="F203" i="1"/>
  <c r="A203" i="1"/>
  <c r="A251" i="1"/>
  <c r="F251" i="1"/>
  <c r="A276" i="1"/>
  <c r="D287" i="1"/>
  <c r="D286" i="1"/>
  <c r="D285" i="1"/>
  <c r="D284" i="1"/>
  <c r="D283" i="1"/>
  <c r="D282" i="1"/>
  <c r="D281" i="1"/>
  <c r="D280" i="1"/>
  <c r="D279" i="1"/>
  <c r="D278" i="1"/>
  <c r="D277" i="1"/>
  <c r="F276" i="1"/>
  <c r="A23" i="4"/>
  <c r="A14" i="4"/>
  <c r="J5" i="4" s="1"/>
  <c r="A15" i="4"/>
  <c r="J3" i="4" s="1"/>
  <c r="A13" i="4"/>
  <c r="J4" i="4" s="1"/>
  <c r="D49" i="1"/>
  <c r="D14" i="1"/>
  <c r="D77" i="1" l="1"/>
  <c r="E12" i="1"/>
  <c r="E11" i="1"/>
  <c r="D19" i="3"/>
  <c r="D15" i="3"/>
  <c r="D3" i="3"/>
  <c r="D13" i="2"/>
  <c r="D12" i="2"/>
  <c r="F230" i="1"/>
  <c r="F125" i="1"/>
  <c r="A125" i="1"/>
  <c r="F72" i="1"/>
  <c r="D59" i="1"/>
  <c r="D58" i="1"/>
  <c r="D57" i="1"/>
  <c r="D56" i="1"/>
  <c r="D55" i="1"/>
  <c r="D54" i="1"/>
  <c r="D53" i="1"/>
  <c r="D52" i="1"/>
  <c r="D51" i="1"/>
  <c r="D50" i="1"/>
  <c r="D48" i="1"/>
  <c r="D47" i="1"/>
  <c r="D46" i="1"/>
  <c r="D45" i="1"/>
  <c r="F44" i="1"/>
  <c r="D20" i="1"/>
  <c r="D19" i="1"/>
  <c r="D18" i="1"/>
  <c r="D17" i="1"/>
  <c r="D15" i="1"/>
  <c r="D13" i="1"/>
  <c r="D12" i="1"/>
  <c r="F11" i="1"/>
  <c r="D342" i="1" l="1"/>
  <c r="D61" i="1"/>
</calcChain>
</file>

<file path=xl/sharedStrings.xml><?xml version="1.0" encoding="utf-8"?>
<sst xmlns="http://schemas.openxmlformats.org/spreadsheetml/2006/main" count="3671" uniqueCount="352">
  <si>
    <t>Database</t>
  </si>
  <si>
    <t>Activity</t>
  </si>
  <si>
    <t>comment</t>
  </si>
  <si>
    <t>location</t>
  </si>
  <si>
    <t>CA-QC</t>
  </si>
  <si>
    <t>production amount</t>
  </si>
  <si>
    <t>unit</t>
  </si>
  <si>
    <t>tonne</t>
  </si>
  <si>
    <t>Exchanges</t>
  </si>
  <si>
    <t>name</t>
  </si>
  <si>
    <t>reference product</t>
  </si>
  <si>
    <t>amount</t>
  </si>
  <si>
    <t>database</t>
  </si>
  <si>
    <t>type</t>
  </si>
  <si>
    <t>categories</t>
  </si>
  <si>
    <t>OFMSW</t>
  </si>
  <si>
    <t>production</t>
  </si>
  <si>
    <t>Landfill_saint sophie</t>
  </si>
  <si>
    <t>technosphere</t>
  </si>
  <si>
    <t>Landfill_terrebonne</t>
  </si>
  <si>
    <t>Landfill_saint_thomas</t>
  </si>
  <si>
    <t>Landfill_lachute</t>
  </si>
  <si>
    <t>Landfill_st-nicephore</t>
  </si>
  <si>
    <t>Landfill_cecile_de_milton</t>
  </si>
  <si>
    <t>Composter_casselman</t>
  </si>
  <si>
    <t>Composter_complexe enviro st Michel</t>
  </si>
  <si>
    <t>Composter_terrebonne</t>
  </si>
  <si>
    <t>Composter_saint thomas</t>
  </si>
  <si>
    <t>Closed-tunnel Composter</t>
  </si>
  <si>
    <t>AD</t>
  </si>
  <si>
    <t>adapted from Lewerenz et al., 2023; represents montreal CTMO</t>
  </si>
  <si>
    <t>DE</t>
  </si>
  <si>
    <t>output</t>
  </si>
  <si>
    <t>market for electricity, low voltage</t>
  </si>
  <si>
    <t>electricity, low voltage</t>
  </si>
  <si>
    <t>kilowatt hour</t>
  </si>
  <si>
    <t>input</t>
  </si>
  <si>
    <t>market for machine operation, diesel, &gt;= 74.57 kW, low load factor</t>
  </si>
  <si>
    <t>machine operation, diesel, &gt;= 74.57 kW, low load factor</t>
  </si>
  <si>
    <t>hour</t>
  </si>
  <si>
    <t>GLO</t>
  </si>
  <si>
    <t>market for municipal waste collection service by 21 metric ton lorry</t>
  </si>
  <si>
    <t>municipal waste collection service by 21 metric ton lorry</t>
  </si>
  <si>
    <t>ton kilometer</t>
  </si>
  <si>
    <t>market for transport, freight, lorry &gt;32 metric ton, EURO5</t>
  </si>
  <si>
    <t>transport, freight, lorry &gt;32 metric ton, EURO5</t>
  </si>
  <si>
    <t>RER</t>
  </si>
  <si>
    <t>composting facility construction, open</t>
  </si>
  <si>
    <t>composting facility, open</t>
  </si>
  <si>
    <t>RoW</t>
  </si>
  <si>
    <t>input, this is more specified in the original LCA</t>
  </si>
  <si>
    <t>market for municipal solid waste</t>
  </si>
  <si>
    <t>municipal solid waste</t>
  </si>
  <si>
    <t>kilogram</t>
  </si>
  <si>
    <t>market for wastewater, average</t>
  </si>
  <si>
    <t>wastewater, average</t>
  </si>
  <si>
    <t>cubic meter</t>
  </si>
  <si>
    <t>Europe without Switzerland</t>
  </si>
  <si>
    <t>water</t>
  </si>
  <si>
    <t>biosphere</t>
  </si>
  <si>
    <t>air</t>
  </si>
  <si>
    <t>output, not sure if this is an elementary flow or technosphere, just said water</t>
  </si>
  <si>
    <t>Ammonia</t>
  </si>
  <si>
    <t>Carbon dioxide, non-fossil</t>
  </si>
  <si>
    <t>Dinitrogen monoxide</t>
  </si>
  <si>
    <t>Hydrogen sulfide</t>
  </si>
  <si>
    <t>Methane, non-fossil</t>
  </si>
  <si>
    <t>substitution</t>
  </si>
  <si>
    <t>adapted from Lewerenz et al., 2023; represents montreal biomethanization plant</t>
  </si>
  <si>
    <t>CH</t>
  </si>
  <si>
    <t>market for heat, central or small-scale, other than natural gas</t>
  </si>
  <si>
    <t>heat, central or small-scale, other than natural gas</t>
  </si>
  <si>
    <t>megajoule</t>
  </si>
  <si>
    <t>market for tap water</t>
  </si>
  <si>
    <t>tap water</t>
  </si>
  <si>
    <t>Nitrate</t>
  </si>
  <si>
    <t>Nitrite</t>
  </si>
  <si>
    <t>Nitrogen, organic bound</t>
  </si>
  <si>
    <t>Phosphorus</t>
  </si>
  <si>
    <t>kwh</t>
  </si>
  <si>
    <t>Transportation Distance</t>
  </si>
  <si>
    <t xml:space="preserve">Montreal-est TS Adress: </t>
  </si>
  <si>
    <t>9000, place Marien, Montréal-Est</t>
  </si>
  <si>
    <t>note: assume all collection routes are the same and only consider distance from transfer station to facility, assume mtl-est transfer station (bc shared for both SSO and RW)</t>
  </si>
  <si>
    <t>Facility</t>
  </si>
  <si>
    <t xml:space="preserve">Distance </t>
  </si>
  <si>
    <t>units</t>
  </si>
  <si>
    <t>Address</t>
  </si>
  <si>
    <t>Note</t>
  </si>
  <si>
    <t>km</t>
  </si>
  <si>
    <t>2535, 1re Rue, Ste-Sophie (Qc) J0R 1S0</t>
  </si>
  <si>
    <t>3779, chemin des 40 Arpents, Lachenaie, QC J6V 9T6</t>
  </si>
  <si>
    <t>1001, Chemin St-Joseph, Saint-Thomas, QC J0K 3L0</t>
  </si>
  <si>
    <t>6985, chemin des Sources, Lachute</t>
  </si>
  <si>
    <t>25, rue Gagnon, St-Nicéphore (Qc) J2A 3H3</t>
  </si>
  <si>
    <t>702 route 137 sud, Sainte-Cécile-de-Milton, QC J0E 2C0</t>
  </si>
  <si>
    <t>908 Aurele Rd, Casselman, ON K0A 1M0</t>
  </si>
  <si>
    <t>not sure…</t>
  </si>
  <si>
    <t>2235 Rue Michel-Jurdant, Montréal, QC H1Z 4N1</t>
  </si>
  <si>
    <t>9091 Henri Bourassa Blvd W, Saint-Laurent, Quebec H4S 1P7</t>
  </si>
  <si>
    <t>note: in reality I really don't think they would use the mtl est transfer station but why be specific for just this one</t>
  </si>
  <si>
    <t>can't find address currently</t>
  </si>
  <si>
    <t>general canadian facility, no transport</t>
  </si>
  <si>
    <t>Warm model parameters (MSW landfilling of Mixed Organics; LFG recovery and electricity generation, typical collection, wet conditions (k=0.06))</t>
  </si>
  <si>
    <t>Process and parameters</t>
  </si>
  <si>
    <t>Equation (if applicable)</t>
  </si>
  <si>
    <t>Unit</t>
  </si>
  <si>
    <t>Value</t>
  </si>
  <si>
    <t>Notes</t>
  </si>
  <si>
    <t>Electricity at grid</t>
  </si>
  <si>
    <t>electricity_from_CH4*CH4_recovered_for_energy*(1-system_down_time)*(final_yield_CH4*(1-moisture_content_mixed_organics)/tonne_to_sh_tn)</t>
  </si>
  <si>
    <t>electricity_from_CH4</t>
  </si>
  <si>
    <t>CH4_calorific_value*net_capacity*kWh_per_BTU_CH4/(density_CH4_for_electricity/1000000)</t>
  </si>
  <si>
    <t>CH4_recovered_for_energy</t>
  </si>
  <si>
    <t>%1. Source: Barlaz data</t>
  </si>
  <si>
    <t>system_down_time</t>
  </si>
  <si>
    <t>final_yield_CH4</t>
  </si>
  <si>
    <t>(1.24384729900016/GWP_CH4)*tonne_to_sh_tn/(1- moisture_content_mixed_organics)</t>
  </si>
  <si>
    <t>moisture_content_mixed_organics</t>
  </si>
  <si>
    <t>tonne_to_sh_tn</t>
  </si>
  <si>
    <t>Conversion of units from metric tonnes to short tons</t>
  </si>
  <si>
    <t>CH4_calorific_value</t>
  </si>
  <si>
    <t>BTU/m3 methane. Source: EPA 2013. LMOP Benefits Calculator</t>
  </si>
  <si>
    <t>net_capacity</t>
  </si>
  <si>
    <t>%1. Source: EPA 2005. LMOP Net capacity factor for generation units (availability, operating load, parasitic losses).</t>
  </si>
  <si>
    <t>density_CH4_for_electricity</t>
  </si>
  <si>
    <t>g/ft3</t>
  </si>
  <si>
    <t>kWh_per_BTU_CH4</t>
  </si>
  <si>
    <t>kWh of electricity generated per BTU methane. Source:  EPA 2005. LMOP Benefits Calculator.</t>
  </si>
  <si>
    <t>GWP_CH4</t>
  </si>
  <si>
    <t>IPCC 2007</t>
  </si>
  <si>
    <t>Carbon</t>
  </si>
  <si>
    <t>C_storage_final *(1-moisture_content_mixed_organics)/tonne_to_sh_tn</t>
  </si>
  <si>
    <t>t</t>
  </si>
  <si>
    <t>C_storage_final</t>
  </si>
  <si>
    <t>0.29606255454107*tonne_to_sh_tn/((1- moisture_content_mixed_organics)*C_to_CO2)</t>
  </si>
  <si>
    <t>C_to_CO2</t>
  </si>
  <si>
    <t>Conversion from carbon to CO2 according to molecular weights</t>
  </si>
  <si>
    <t>Methane</t>
  </si>
  <si>
    <t>CH4_emitted_final*final_yield_CH4*(1-moisture_content_mixed_organics)/tonne_to_sh_tn</t>
  </si>
  <si>
    <t>CH4_emitted_final</t>
  </si>
  <si>
    <t>inorganic nitrogen fertiliser, as N</t>
  </si>
  <si>
    <t>inorganic phosphorus fertiliser, as P2O5</t>
  </si>
  <si>
    <t>inorganic potassium fertiliser, as K2O</t>
  </si>
  <si>
    <t>RNA</t>
  </si>
  <si>
    <t>m3</t>
  </si>
  <si>
    <t>Data provided by waste connections</t>
  </si>
  <si>
    <t>Terrebonne compost</t>
  </si>
  <si>
    <t>source</t>
  </si>
  <si>
    <t>ecoinvent-3.8-cutoff</t>
  </si>
  <si>
    <t>https://doi.org/10.1016/j.jclepro.2016.06.150</t>
  </si>
  <si>
    <t>kg P2O5</t>
  </si>
  <si>
    <t>kg K2O</t>
  </si>
  <si>
    <t>kg N</t>
  </si>
  <si>
    <t>t dry compost</t>
  </si>
  <si>
    <t>t wet compost</t>
  </si>
  <si>
    <t>t OW</t>
  </si>
  <si>
    <t xml:space="preserve">NS compost </t>
  </si>
  <si>
    <t>lewerenz_Open Composter</t>
  </si>
  <si>
    <t>heating value</t>
  </si>
  <si>
    <t>Landfill gas</t>
  </si>
  <si>
    <t>MJ/m3</t>
  </si>
  <si>
    <t>Natural gas</t>
  </si>
  <si>
    <t>%</t>
  </si>
  <si>
    <t xml:space="preserve">Annual production of GNR from AD </t>
  </si>
  <si>
    <t>Facility capacity</t>
  </si>
  <si>
    <t>t OW annually</t>
  </si>
  <si>
    <t>GHG report City</t>
  </si>
  <si>
    <t>m3/t OW</t>
  </si>
  <si>
    <t>NS_compost</t>
  </si>
  <si>
    <t>CA-NS</t>
  </si>
  <si>
    <t>Colchester Composting Facility in Kemptown, Nova Scotia</t>
  </si>
  <si>
    <t>nutrient supply from urea</t>
  </si>
  <si>
    <t>nutrient supply from monoammonium phosphate</t>
  </si>
  <si>
    <t>nutrient supply from potassium chloride</t>
  </si>
  <si>
    <t>soil</t>
  </si>
  <si>
    <t>natural gas, high pressure</t>
  </si>
  <si>
    <t>market for natural gas, high pressure</t>
  </si>
  <si>
    <t xml:space="preserve">empty lorry km </t>
  </si>
  <si>
    <t>sensitivity, 50, 60 %</t>
  </si>
  <si>
    <t>ecoinvent-3.9.1-cutoff</t>
  </si>
  <si>
    <t>ecoinvent-3.9-biosphere</t>
  </si>
  <si>
    <t>treatment of wastewater, average, wastewater treatment</t>
  </si>
  <si>
    <t>CA</t>
  </si>
  <si>
    <t>NMVOC, non-methane volatile organic compounds</t>
  </si>
  <si>
    <t>nutrient supply from potassium nitrate</t>
  </si>
  <si>
    <t>market for diesel</t>
  </si>
  <si>
    <t>diesel</t>
  </si>
  <si>
    <t>Annual production of RNG from landfill</t>
  </si>
  <si>
    <t>m3/ton OFMSW</t>
  </si>
  <si>
    <t>wastewater</t>
  </si>
  <si>
    <t>NS</t>
  </si>
  <si>
    <t>lewerenz</t>
  </si>
  <si>
    <t>Data source</t>
  </si>
  <si>
    <t xml:space="preserve">general name </t>
  </si>
  <si>
    <t>Windrow Compost</t>
  </si>
  <si>
    <t>Landfill</t>
  </si>
  <si>
    <t>CO2</t>
  </si>
  <si>
    <t>N2O</t>
  </si>
  <si>
    <t>electricity consumed</t>
  </si>
  <si>
    <t xml:space="preserve">SETAC landfill </t>
  </si>
  <si>
    <t>WARM (ghgs in kg)</t>
  </si>
  <si>
    <t>ECCC (kg)</t>
  </si>
  <si>
    <t>diesel (kg)</t>
  </si>
  <si>
    <t>application of digestate</t>
  </si>
  <si>
    <t>boldrin</t>
  </si>
  <si>
    <t>Dry matter flows</t>
  </si>
  <si>
    <t xml:space="preserve">Tsout,x </t>
  </si>
  <si>
    <t>Tsbiof</t>
  </si>
  <si>
    <t>TCxf</t>
  </si>
  <si>
    <t>Composting windrow</t>
  </si>
  <si>
    <t>Composting Tunnel</t>
  </si>
  <si>
    <t>total weight of fraction</t>
  </si>
  <si>
    <t>Cair</t>
  </si>
  <si>
    <t>Parameter</t>
  </si>
  <si>
    <t>Definition</t>
  </si>
  <si>
    <t>CW</t>
  </si>
  <si>
    <t>CT</t>
  </si>
  <si>
    <t>The amount of C-containing gaseous emissions (Cair, expressed as kg of C)</t>
  </si>
  <si>
    <t>Mt</t>
  </si>
  <si>
    <t>mf</t>
  </si>
  <si>
    <t>TSf</t>
  </si>
  <si>
    <t>Cf</t>
  </si>
  <si>
    <t>Vsdegf</t>
  </si>
  <si>
    <t>input waste mass</t>
  </si>
  <si>
    <t>mf (0–1) is the mass fraction of the waste material fraction f in the waste</t>
  </si>
  <si>
    <t>dry matter content (fraction of TS) of fraction f</t>
  </si>
  <si>
    <t>carbon content (fraction of TS) for fraction f,</t>
  </si>
  <si>
    <t>VS degradation ratio for fraction f (user defined)</t>
  </si>
  <si>
    <t>kg C</t>
  </si>
  <si>
    <t xml:space="preserve">kg  </t>
  </si>
  <si>
    <t>0-1</t>
  </si>
  <si>
    <t>CH4degr</t>
  </si>
  <si>
    <t>CH4remov</t>
  </si>
  <si>
    <t>molar_CO2</t>
  </si>
  <si>
    <t>molac_C</t>
  </si>
  <si>
    <t xml:space="preserve">Fertilizer credit </t>
  </si>
  <si>
    <t>literature compost</t>
  </si>
  <si>
    <t>literature digestate</t>
  </si>
  <si>
    <t>quality sheet compost</t>
  </si>
  <si>
    <t>quality sheet AD</t>
  </si>
  <si>
    <t xml:space="preserve">NS </t>
  </si>
  <si>
    <t>kg</t>
  </si>
  <si>
    <t xml:space="preserve">nutrient sheets </t>
  </si>
  <si>
    <t>compost</t>
  </si>
  <si>
    <t>digestate</t>
  </si>
  <si>
    <t>moisture content</t>
  </si>
  <si>
    <t>kg N/ t dry compst</t>
  </si>
  <si>
    <t>t wet digestate</t>
  </si>
  <si>
    <t>t dry digestate</t>
  </si>
  <si>
    <t>compost ontario</t>
  </si>
  <si>
    <t>on a wet basis</t>
  </si>
  <si>
    <t>AD_nutrient_sheet</t>
  </si>
  <si>
    <t xml:space="preserve">AD_literature </t>
  </si>
  <si>
    <t>Closed-tunnel Composter (literature)</t>
  </si>
  <si>
    <t>Closed-tunnel Composter (city)</t>
  </si>
  <si>
    <t>adapted from Lewerenz et al., 2023; uses GES report data for CO2, CH4, N2O</t>
  </si>
  <si>
    <t>adapted from Lewerenz et al., 2023; represents montreal CTMO, GES report for CH4, CO2, N2O</t>
  </si>
  <si>
    <t>Closed_composter_city_0702</t>
  </si>
  <si>
    <t>Data provided by Eric at the City</t>
  </si>
  <si>
    <t>city compost</t>
  </si>
  <si>
    <t>sulfuric acid</t>
  </si>
  <si>
    <t>market for sulfuric acid</t>
  </si>
  <si>
    <t>Closed_composter_no_N2O</t>
  </si>
  <si>
    <t>terrebonne old</t>
  </si>
  <si>
    <t>terrebonne new</t>
  </si>
  <si>
    <t>city (AD)</t>
  </si>
  <si>
    <t>city (compost)</t>
  </si>
  <si>
    <t>terrebonne my OF</t>
  </si>
  <si>
    <t>terrebonne marwan OF</t>
  </si>
  <si>
    <t>adapted from WARM 2023 + terrebonne data (low organic content)</t>
  </si>
  <si>
    <t>adapted from WARM 2023 + mixed organics k = 0.04</t>
  </si>
  <si>
    <t>Landfill_lachute_WARM</t>
  </si>
  <si>
    <t>Landfill_st-nicephore_WARM</t>
  </si>
  <si>
    <t>Landfill_cecile_de_milton_WARM</t>
  </si>
  <si>
    <t>Landfill_saint_thomas_WARM</t>
  </si>
  <si>
    <t>Landfill_terrebonne_WARM</t>
  </si>
  <si>
    <t>Landfill_saint_sophie_WARM</t>
  </si>
  <si>
    <t>sh tn to t</t>
  </si>
  <si>
    <t>https://www.eia.gov/tools/faqs/faq.php?id=7&amp;t=2</t>
  </si>
  <si>
    <t>for warm diesel is in BTU</t>
  </si>
  <si>
    <t>electricity generated (kwh)</t>
  </si>
  <si>
    <t>Methane, from soil or biomass stock (kg)</t>
  </si>
  <si>
    <t>Carbon (kg)</t>
  </si>
  <si>
    <t>1 btu in litres</t>
  </si>
  <si>
    <t>https://www.eia.gov/energyexplained/units-and-calculators/energy-conversion-calculators.php</t>
  </si>
  <si>
    <t xml:space="preserve">density </t>
  </si>
  <si>
    <t>kg/m3</t>
  </si>
  <si>
    <t>https://www.ic.gc.ca/eic/site/mc-mc.nsf/vwapj/VCF_Diesel.pdf/$file/VCF_Diesel.pdf</t>
  </si>
  <si>
    <t>Contributions by %</t>
  </si>
  <si>
    <t>(OWM Facilities, f23aff46542d30ba1117f5429ebe0...</t>
  </si>
  <si>
    <t>(OWM Facilities, dfc455135f96be2fc69fe163de47a...</t>
  </si>
  <si>
    <t>(OWM Facilities, eeb262dba20ea97b736f102578f01...</t>
  </si>
  <si>
    <t>AD_city</t>
  </si>
  <si>
    <t>(OWM Facilities, 9b4a06dcebd1ead55bfafa108a0b2...</t>
  </si>
  <si>
    <t>contribution</t>
  </si>
  <si>
    <t>(ecoinvent-3.9.1-biosphere, da1157e2-7593-4dfd...</t>
  </si>
  <si>
    <t>(ecoinvent-3.9.1-biosphere, 20185046-64bb-4c09...</t>
  </si>
  <si>
    <t>market for transport, freight, lorry &gt;32 metri...</t>
  </si>
  <si>
    <t>(ecoinvent-3.9.1-cutoff, e76596f45bcb935639d77...</t>
  </si>
  <si>
    <t>(ecoinvent-3.9.1-cutoff, ab2025e93043973cf4bb5...</t>
  </si>
  <si>
    <t>(ecoinvent-3.9.1-cutoff, b613a0e604fce45d41460...</t>
  </si>
  <si>
    <t>(ecoinvent-3.9.1-biosphere, eba59fd6-f37e-41dc...</t>
  </si>
  <si>
    <t>(ecoinvent-3.9.1-cutoff, ab6a81dd5e1ed8e4c69d8...</t>
  </si>
  <si>
    <t>Landfill_saint sophie_HOC</t>
  </si>
  <si>
    <t>Landfill_terrebonne_HOC</t>
  </si>
  <si>
    <t>Landfill_saint_thomas_HOC</t>
  </si>
  <si>
    <t>Landfill_lachute_HOC</t>
  </si>
  <si>
    <t>Landfill_st-nicephore_HOC</t>
  </si>
  <si>
    <t>Landfill_cecile_de_milton_HOC</t>
  </si>
  <si>
    <t>High organic content (HOC)</t>
  </si>
  <si>
    <t>treatment of wastewater, average, wastewater t...</t>
  </si>
  <si>
    <t>(ecoinvent-3.9.1-cutoff, c64fb2a247373a9696f5c...</t>
  </si>
  <si>
    <t>(ecoinvent-3.9.1-biosphere, 87883a4e-1e3e-4c9d...</t>
  </si>
  <si>
    <t>(ecoinvent-3.9.1-biosphere, d3260d0e-8203-4cbb...</t>
  </si>
  <si>
    <t>(ecoinvent-3.9.1-cutoff, dc813b650a2573a1a08e6...</t>
  </si>
  <si>
    <t>(ecoinvent-3.9.1-cutoff, de5f22c1d190c5ecb97d2...</t>
  </si>
  <si>
    <t>(ecoinvent-3.9.1-cutoff, 39b3113bf30886d67d804...</t>
  </si>
  <si>
    <t>(ecoinvent-3.9.1-cutoff, bd7dddfe46e52010e6555...</t>
  </si>
  <si>
    <t>market for heat, central or small-scale, other...</t>
  </si>
  <si>
    <t>(ecoinvent-3.9.1-cutoff, 9dd857c4552aa90cb27ef...</t>
  </si>
  <si>
    <t>market for machine operation, diesel, &gt;= 74.57...</t>
  </si>
  <si>
    <t>(ecoinvent-3.9.1-cutoff, d3006729097835754ee0c...</t>
  </si>
  <si>
    <t>(ecoinvent-3.9.1-cutoff, e10c44bab6fdc65dc71e5...</t>
  </si>
  <si>
    <t>(ecoinvent-3.9.1-biosphere, 20d4d821-f4f7-4017...</t>
  </si>
  <si>
    <t>(ecoinvent-3.9.1-biosphere, 5e7cf95c-9cc3-4479...</t>
  </si>
  <si>
    <t>(ecoinvent-3.9.1-biosphere, 9f5bfac4-cbb6-4b38...</t>
  </si>
  <si>
    <t>(ecoinvent-3.9.1-biosphere, a703733d-fabc-487b...</t>
  </si>
  <si>
    <t>(ecoinvent-3.9.1-biosphere, d761f94e-517d-41cf...</t>
  </si>
  <si>
    <t>(OWM Facilities, 93b5a70f68a512730247a3eeca34c...</t>
  </si>
  <si>
    <t>(OWM Facilities, 0d4738c3dff15eb16ca260d229651...</t>
  </si>
  <si>
    <t>Annual production of RNG from AD</t>
  </si>
  <si>
    <t>LFG heating value</t>
  </si>
  <si>
    <t>SA OWM Facilities</t>
  </si>
  <si>
    <t>biogas low</t>
  </si>
  <si>
    <t>biogas high</t>
  </si>
  <si>
    <t>MJ/m4</t>
  </si>
  <si>
    <t>high efficiency of LFG relative to NG</t>
  </si>
  <si>
    <t>low efficiency of LFG relative to NG</t>
  </si>
  <si>
    <t>Avoided Natural gas AD high</t>
  </si>
  <si>
    <t>Avoided Natural gas AD low</t>
  </si>
  <si>
    <t>Avoided Natural gas landfill high</t>
  </si>
  <si>
    <t>Avoided Natural gas landfill low</t>
  </si>
  <si>
    <t>AD_city_high</t>
  </si>
  <si>
    <t>AD_city_low</t>
  </si>
  <si>
    <t>Landfill_saint sophie_HOC_high</t>
  </si>
  <si>
    <t>Landfill_terrebonne_HOC_high</t>
  </si>
  <si>
    <t>Landfill_saint_thomas_HOC_high</t>
  </si>
  <si>
    <t>Landfill_saint sophie_HOC_low</t>
  </si>
  <si>
    <t>Landfill_terrebonne_HOC_low</t>
  </si>
  <si>
    <t>Landfill_saint_thomas_HOC_low</t>
  </si>
  <si>
    <t>Closed_composter_city_final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</si>
</sst>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E+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onsolas"/>
      <family val="3"/>
    </font>
    <font>
      <sz val="12"/>
      <color theme="1"/>
      <name val="Calibri"/>
      <family val="2"/>
      <scheme val="minor"/>
    </font>
    <font>
      <sz val="12"/>
      <color rgb="FF000000"/>
      <name val="Aptos"/>
      <family val="2"/>
    </font>
    <font>
      <sz val="8"/>
      <color rgb="FF000000"/>
      <name val="Arial"/>
      <family val="2"/>
    </font>
    <font>
      <sz val="7"/>
      <color rgb="FF333333"/>
      <name val="Segoe UI"/>
      <family val="2"/>
    </font>
    <font>
      <b/>
      <sz val="7"/>
      <color rgb="FF333333"/>
      <name val="Segoe UI"/>
      <family val="2"/>
    </font>
    <font>
      <b/>
      <sz val="11"/>
      <color rgb="FF333333"/>
      <name val="Segoe UI"/>
      <family val="2"/>
    </font>
    <font>
      <sz val="11"/>
      <color rgb="FF333333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1" fillId="0" borderId="0"/>
  </cellStyleXfs>
  <cellXfs count="35">
    <xf numFmtId="0" fontId="0" fillId="0" borderId="0" xfId="0"/>
    <xf numFmtId="0" fontId="3" fillId="2" borderId="0" xfId="0" applyFont="1" applyFill="1"/>
    <xf numFmtId="0" fontId="0" fillId="2" borderId="0" xfId="0" applyFill="1"/>
    <xf numFmtId="0" fontId="3" fillId="0" borderId="0" xfId="0" applyFont="1"/>
    <xf numFmtId="0" fontId="1" fillId="0" borderId="0" xfId="2"/>
    <xf numFmtId="0" fontId="1" fillId="0" borderId="0" xfId="0" applyFont="1"/>
    <xf numFmtId="1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" fontId="3" fillId="0" borderId="0" xfId="0" applyNumberFormat="1" applyFont="1"/>
    <xf numFmtId="1" fontId="0" fillId="0" borderId="0" xfId="0" applyNumberFormat="1"/>
    <xf numFmtId="11" fontId="0" fillId="0" borderId="0" xfId="0" applyNumberFormat="1"/>
    <xf numFmtId="11" fontId="0" fillId="0" borderId="0" xfId="0" applyNumberFormat="1" applyAlignment="1">
      <alignment horizontal="right"/>
    </xf>
    <xf numFmtId="164" fontId="0" fillId="0" borderId="0" xfId="0" applyNumberFormat="1"/>
    <xf numFmtId="11" fontId="0" fillId="0" borderId="2" xfId="0" applyNumberFormat="1" applyBorder="1"/>
    <xf numFmtId="0" fontId="0" fillId="3" borderId="0" xfId="0" applyFill="1"/>
    <xf numFmtId="0" fontId="0" fillId="4" borderId="0" xfId="0" applyFill="1"/>
    <xf numFmtId="0" fontId="2" fillId="0" borderId="1" xfId="1"/>
    <xf numFmtId="0" fontId="2" fillId="0" borderId="0" xfId="1" applyBorder="1"/>
    <xf numFmtId="0" fontId="2" fillId="0" borderId="0" xfId="1" applyFill="1" applyBorder="1"/>
    <xf numFmtId="9" fontId="0" fillId="0" borderId="0" xfId="0" applyNumberFormat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6" fillId="0" borderId="0" xfId="0" applyFont="1" applyAlignment="1">
      <alignment horizontal="center" vertical="center"/>
    </xf>
    <xf numFmtId="2" fontId="0" fillId="0" borderId="0" xfId="0" applyNumberFormat="1"/>
    <xf numFmtId="0" fontId="0" fillId="5" borderId="0" xfId="0" applyFill="1"/>
    <xf numFmtId="0" fontId="7" fillId="0" borderId="0" xfId="0" applyFont="1"/>
    <xf numFmtId="0" fontId="8" fillId="0" borderId="0" xfId="0" applyFont="1"/>
    <xf numFmtId="0" fontId="9" fillId="0" borderId="3" xfId="0" applyFont="1" applyBorder="1" applyAlignment="1">
      <alignment horizontal="right" vertical="center" wrapText="1"/>
    </xf>
    <xf numFmtId="0" fontId="0" fillId="0" borderId="4" xfId="0" applyBorder="1"/>
    <xf numFmtId="0" fontId="10" fillId="0" borderId="3" xfId="0" applyFont="1" applyBorder="1" applyAlignment="1">
      <alignment horizontal="right" vertical="center" wrapText="1"/>
    </xf>
    <xf numFmtId="0" fontId="3" fillId="4" borderId="0" xfId="0" applyFont="1" applyFill="1"/>
    <xf numFmtId="0" fontId="11" fillId="0" borderId="3" xfId="0" applyFont="1" applyBorder="1" applyAlignment="1">
      <alignment horizontal="right" vertical="center" wrapText="1"/>
    </xf>
    <xf numFmtId="0" fontId="12" fillId="0" borderId="3" xfId="0" applyFont="1" applyBorder="1" applyAlignment="1">
      <alignment horizontal="right" vertical="center" wrapText="1"/>
    </xf>
    <xf numFmtId="0" fontId="12" fillId="3" borderId="3" xfId="0" applyFont="1" applyFill="1" applyBorder="1" applyAlignment="1">
      <alignment horizontal="right" vertical="center" wrapText="1"/>
    </xf>
    <xf numFmtId="0" fontId="0" fillId="0" borderId="0" xfId="0" applyAlignment="1">
      <alignment horizontal="center"/>
    </xf>
  </cellXfs>
  <cellStyles count="3">
    <cellStyle name="Heading 3" xfId="1" builtinId="18"/>
    <cellStyle name="Normal" xfId="0" builtinId="0"/>
    <cellStyle name="Normal 2" xfId="2" xr:uid="{C1984B5A-0E98-421D-9649-8C2FA38520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146538</xdr:colOff>
      <xdr:row>12</xdr:row>
      <xdr:rowOff>158751</xdr:rowOff>
    </xdr:from>
    <xdr:to>
      <xdr:col>25</xdr:col>
      <xdr:colOff>47137</xdr:colOff>
      <xdr:row>57</xdr:row>
      <xdr:rowOff>115278</xdr:rowOff>
    </xdr:to>
    <xdr:pic>
      <xdr:nvPicPr>
        <xdr:cNvPr id="2" name="Picture 1" descr="Picture 1419990601, Picture">
          <a:extLst>
            <a:ext uri="{FF2B5EF4-FFF2-40B4-BE49-F238E27FC236}">
              <a16:creationId xmlns:a16="http://schemas.microsoft.com/office/drawing/2014/main" id="{DD637E14-4862-BB4C-DC49-4B8F5BB8E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0" y="2356828"/>
          <a:ext cx="9056077" cy="8223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3</xdr:row>
      <xdr:rowOff>95250</xdr:rowOff>
    </xdr:from>
    <xdr:to>
      <xdr:col>2</xdr:col>
      <xdr:colOff>578262</xdr:colOff>
      <xdr:row>7</xdr:row>
      <xdr:rowOff>168388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9F3E1C-6529-635B-1ED7-F6FA09DE0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0" y="647700"/>
          <a:ext cx="2953162" cy="809738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14</xdr:row>
      <xdr:rowOff>76200</xdr:rowOff>
    </xdr:from>
    <xdr:to>
      <xdr:col>5</xdr:col>
      <xdr:colOff>172056</xdr:colOff>
      <xdr:row>18</xdr:row>
      <xdr:rowOff>158864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71724E-ED73-AEFC-8904-9F5B5C9B7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350" y="2654300"/>
          <a:ext cx="4344006" cy="819264"/>
        </a:xfrm>
        <a:prstGeom prst="rect">
          <a:avLst/>
        </a:prstGeom>
      </xdr:spPr>
    </xdr:pic>
    <xdr:clientData/>
  </xdr:twoCellAnchor>
  <xdr:twoCellAnchor editAs="oneCell">
    <xdr:from>
      <xdr:col>0</xdr:col>
      <xdr:colOff>120650</xdr:colOff>
      <xdr:row>27</xdr:row>
      <xdr:rowOff>57150</xdr:rowOff>
    </xdr:from>
    <xdr:to>
      <xdr:col>5</xdr:col>
      <xdr:colOff>264146</xdr:colOff>
      <xdr:row>30</xdr:row>
      <xdr:rowOff>162017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B55A1-7A87-BCD8-2A00-387EE966F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650" y="5029200"/>
          <a:ext cx="4448796" cy="657317"/>
        </a:xfrm>
        <a:prstGeom prst="rect">
          <a:avLst/>
        </a:prstGeom>
      </xdr:spPr>
    </xdr:pic>
    <xdr:clientData/>
  </xdr:twoCellAnchor>
  <xdr:twoCellAnchor editAs="oneCell">
    <xdr:from>
      <xdr:col>0</xdr:col>
      <xdr:colOff>101600</xdr:colOff>
      <xdr:row>39</xdr:row>
      <xdr:rowOff>57150</xdr:rowOff>
    </xdr:from>
    <xdr:to>
      <xdr:col>4</xdr:col>
      <xdr:colOff>140221</xdr:colOff>
      <xdr:row>41</xdr:row>
      <xdr:rowOff>50851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885B379-AEE0-929B-6EC7-7DA3F1572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1600" y="7239000"/>
          <a:ext cx="3734321" cy="362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91"/>
  <sheetViews>
    <sheetView tabSelected="1" topLeftCell="A401" zoomScale="90" zoomScaleNormal="90" workbookViewId="0">
      <selection activeCell="B406" sqref="B406"/>
    </sheetView>
  </sheetViews>
  <sheetFormatPr defaultRowHeight="14.5" x14ac:dyDescent="0.35"/>
  <cols>
    <col min="1" max="1" width="67.453125" customWidth="1"/>
    <col min="2" max="2" width="50.81640625" customWidth="1"/>
    <col min="4" max="4" width="12.81640625" customWidth="1"/>
    <col min="6" max="6" width="28.1796875" customWidth="1"/>
    <col min="7" max="7" width="18.81640625" customWidth="1"/>
  </cols>
  <sheetData>
    <row r="1" spans="1:10" x14ac:dyDescent="0.35">
      <c r="A1" s="1" t="s">
        <v>0</v>
      </c>
      <c r="B1" s="2" t="s">
        <v>333</v>
      </c>
    </row>
    <row r="3" spans="1:10" x14ac:dyDescent="0.35">
      <c r="A3" s="1" t="s">
        <v>1</v>
      </c>
      <c r="B3" s="2" t="s">
        <v>254</v>
      </c>
      <c r="C3" s="2"/>
      <c r="D3" s="2"/>
      <c r="E3" s="2"/>
      <c r="F3" s="2"/>
      <c r="G3" s="2"/>
      <c r="H3" s="2"/>
      <c r="I3" s="2"/>
    </row>
    <row r="4" spans="1:10" x14ac:dyDescent="0.35">
      <c r="A4" s="3" t="s">
        <v>2</v>
      </c>
      <c r="B4" t="s">
        <v>30</v>
      </c>
    </row>
    <row r="5" spans="1:10" x14ac:dyDescent="0.35">
      <c r="A5" s="4" t="s">
        <v>3</v>
      </c>
      <c r="B5" s="5" t="s">
        <v>4</v>
      </c>
      <c r="C5" s="5"/>
      <c r="D5" s="5"/>
      <c r="E5" s="5"/>
      <c r="F5" s="5"/>
      <c r="G5" s="5"/>
      <c r="H5" s="5"/>
      <c r="I5" s="5"/>
    </row>
    <row r="6" spans="1:10" x14ac:dyDescent="0.35">
      <c r="A6" s="4" t="s">
        <v>5</v>
      </c>
      <c r="B6" s="6">
        <v>1</v>
      </c>
      <c r="C6" s="5"/>
      <c r="D6" s="5"/>
      <c r="E6" s="5"/>
      <c r="F6" s="5"/>
      <c r="G6" s="5"/>
      <c r="H6" s="5"/>
      <c r="I6" s="5"/>
    </row>
    <row r="7" spans="1:10" x14ac:dyDescent="0.35">
      <c r="A7" s="4" t="s">
        <v>6</v>
      </c>
      <c r="B7" s="7" t="s">
        <v>7</v>
      </c>
      <c r="C7" s="5"/>
      <c r="D7" s="5"/>
      <c r="E7" s="5"/>
      <c r="F7" s="5"/>
      <c r="G7" s="5"/>
      <c r="H7" s="5"/>
      <c r="I7" s="5"/>
    </row>
    <row r="9" spans="1:10" x14ac:dyDescent="0.35">
      <c r="A9" s="3" t="s">
        <v>8</v>
      </c>
    </row>
    <row r="10" spans="1:10" x14ac:dyDescent="0.35">
      <c r="A10" s="3" t="s">
        <v>9</v>
      </c>
      <c r="B10" s="3" t="s">
        <v>10</v>
      </c>
      <c r="C10" s="3" t="s">
        <v>6</v>
      </c>
      <c r="D10" s="8" t="s">
        <v>11</v>
      </c>
      <c r="E10" s="3" t="s">
        <v>3</v>
      </c>
      <c r="F10" s="3" t="s">
        <v>12</v>
      </c>
      <c r="G10" s="3" t="s">
        <v>13</v>
      </c>
      <c r="H10" s="3" t="s">
        <v>14</v>
      </c>
      <c r="I10" t="s">
        <v>2</v>
      </c>
    </row>
    <row r="11" spans="1:10" x14ac:dyDescent="0.35">
      <c r="A11" t="s">
        <v>254</v>
      </c>
      <c r="B11" t="s">
        <v>15</v>
      </c>
      <c r="C11" t="s">
        <v>7</v>
      </c>
      <c r="D11" s="9">
        <v>1</v>
      </c>
      <c r="E11" t="str">
        <f>B5</f>
        <v>CA-QC</v>
      </c>
      <c r="F11" t="str">
        <f>$B$1</f>
        <v>SA OWM Facilities</v>
      </c>
      <c r="G11" t="s">
        <v>16</v>
      </c>
      <c r="H11" s="3"/>
      <c r="I11" t="s">
        <v>32</v>
      </c>
    </row>
    <row r="12" spans="1:10" x14ac:dyDescent="0.35">
      <c r="A12" s="9" t="s">
        <v>33</v>
      </c>
      <c r="B12" t="s">
        <v>34</v>
      </c>
      <c r="C12" t="s">
        <v>35</v>
      </c>
      <c r="D12" s="10">
        <f>0.033*1000</f>
        <v>33</v>
      </c>
      <c r="E12" t="str">
        <f>B5</f>
        <v>CA-QC</v>
      </c>
      <c r="F12" s="20" t="s">
        <v>180</v>
      </c>
      <c r="G12" t="s">
        <v>18</v>
      </c>
      <c r="I12" t="s">
        <v>36</v>
      </c>
    </row>
    <row r="13" spans="1:10" x14ac:dyDescent="0.35">
      <c r="A13" t="s">
        <v>37</v>
      </c>
      <c r="B13" t="s">
        <v>38</v>
      </c>
      <c r="C13" t="s">
        <v>39</v>
      </c>
      <c r="D13" s="10">
        <f>0.000253016462365506*1000</f>
        <v>0.25301646236550601</v>
      </c>
      <c r="E13" t="s">
        <v>40</v>
      </c>
      <c r="F13" s="20" t="s">
        <v>180</v>
      </c>
      <c r="G13" t="s">
        <v>18</v>
      </c>
      <c r="I13" t="s">
        <v>36</v>
      </c>
    </row>
    <row r="14" spans="1:10" x14ac:dyDescent="0.35">
      <c r="A14" t="s">
        <v>44</v>
      </c>
      <c r="B14" t="s">
        <v>45</v>
      </c>
      <c r="C14" t="s">
        <v>43</v>
      </c>
      <c r="D14" s="10">
        <f>Transportation!B14</f>
        <v>0</v>
      </c>
      <c r="E14" t="s">
        <v>46</v>
      </c>
      <c r="F14" s="20" t="s">
        <v>180</v>
      </c>
      <c r="G14" t="s">
        <v>18</v>
      </c>
      <c r="I14" t="s">
        <v>36</v>
      </c>
      <c r="J14" t="s">
        <v>178</v>
      </c>
    </row>
    <row r="15" spans="1:10" x14ac:dyDescent="0.35">
      <c r="A15" t="s">
        <v>51</v>
      </c>
      <c r="B15" t="s">
        <v>52</v>
      </c>
      <c r="C15" t="s">
        <v>53</v>
      </c>
      <c r="D15" s="10">
        <f>0.0000185*1000</f>
        <v>1.8499999999999999E-2</v>
      </c>
      <c r="E15" t="s">
        <v>4</v>
      </c>
      <c r="F15" s="20" t="s">
        <v>180</v>
      </c>
      <c r="G15" t="s">
        <v>18</v>
      </c>
      <c r="I15" t="s">
        <v>32</v>
      </c>
    </row>
    <row r="16" spans="1:10" x14ac:dyDescent="0.35">
      <c r="A16" t="s">
        <v>182</v>
      </c>
      <c r="B16" t="s">
        <v>55</v>
      </c>
      <c r="C16" t="s">
        <v>56</v>
      </c>
      <c r="D16">
        <v>-0.22500000000000001</v>
      </c>
      <c r="E16" t="s">
        <v>4</v>
      </c>
      <c r="F16" s="20" t="s">
        <v>180</v>
      </c>
      <c r="G16" t="s">
        <v>18</v>
      </c>
      <c r="I16" t="s">
        <v>32</v>
      </c>
    </row>
    <row r="17" spans="1:9" x14ac:dyDescent="0.35">
      <c r="A17" t="s">
        <v>58</v>
      </c>
      <c r="C17" t="s">
        <v>56</v>
      </c>
      <c r="D17" s="10">
        <f>0.000125*1000</f>
        <v>0.125</v>
      </c>
      <c r="F17" s="20" t="s">
        <v>181</v>
      </c>
      <c r="G17" t="s">
        <v>59</v>
      </c>
      <c r="H17" t="s">
        <v>60</v>
      </c>
      <c r="I17" t="s">
        <v>61</v>
      </c>
    </row>
    <row r="18" spans="1:9" x14ac:dyDescent="0.35">
      <c r="A18" t="s">
        <v>62</v>
      </c>
      <c r="C18" t="s">
        <v>53</v>
      </c>
      <c r="D18" s="11">
        <f>0.0000376*1000</f>
        <v>3.7600000000000001E-2</v>
      </c>
      <c r="F18" s="20" t="s">
        <v>181</v>
      </c>
      <c r="G18" t="s">
        <v>59</v>
      </c>
      <c r="H18" t="s">
        <v>60</v>
      </c>
      <c r="I18" t="s">
        <v>32</v>
      </c>
    </row>
    <row r="19" spans="1:9" x14ac:dyDescent="0.35">
      <c r="A19" t="s">
        <v>63</v>
      </c>
      <c r="C19" t="s">
        <v>53</v>
      </c>
      <c r="D19" s="10">
        <f>0.0936*1000</f>
        <v>93.600000000000009</v>
      </c>
      <c r="F19" s="20" t="s">
        <v>181</v>
      </c>
      <c r="G19" t="s">
        <v>59</v>
      </c>
      <c r="H19" t="s">
        <v>60</v>
      </c>
      <c r="I19" t="s">
        <v>32</v>
      </c>
    </row>
    <row r="20" spans="1:9" x14ac:dyDescent="0.35">
      <c r="A20" t="s">
        <v>64</v>
      </c>
      <c r="C20" t="s">
        <v>53</v>
      </c>
      <c r="D20" s="23">
        <f>0.000091*1000</f>
        <v>9.0999999999999998E-2</v>
      </c>
      <c r="F20" s="20" t="s">
        <v>181</v>
      </c>
      <c r="G20" t="s">
        <v>59</v>
      </c>
      <c r="H20" t="s">
        <v>60</v>
      </c>
      <c r="I20" t="s">
        <v>32</v>
      </c>
    </row>
    <row r="21" spans="1:9" x14ac:dyDescent="0.35">
      <c r="A21" t="s">
        <v>65</v>
      </c>
      <c r="C21" t="s">
        <v>53</v>
      </c>
      <c r="D21" s="10">
        <f>0.000526*1000</f>
        <v>0.52600000000000002</v>
      </c>
      <c r="F21" s="20" t="s">
        <v>181</v>
      </c>
      <c r="G21" t="s">
        <v>59</v>
      </c>
      <c r="H21" t="s">
        <v>60</v>
      </c>
      <c r="I21" t="s">
        <v>32</v>
      </c>
    </row>
    <row r="22" spans="1:9" x14ac:dyDescent="0.35">
      <c r="A22" t="s">
        <v>66</v>
      </c>
      <c r="C22" t="s">
        <v>53</v>
      </c>
      <c r="D22" s="10">
        <f>0.00264*1000</f>
        <v>2.64</v>
      </c>
      <c r="F22" s="20" t="s">
        <v>181</v>
      </c>
      <c r="G22" t="s">
        <v>59</v>
      </c>
      <c r="H22" t="s">
        <v>60</v>
      </c>
      <c r="I22" t="s">
        <v>32</v>
      </c>
    </row>
    <row r="23" spans="1:9" x14ac:dyDescent="0.35">
      <c r="A23" t="s">
        <v>184</v>
      </c>
      <c r="C23" t="s">
        <v>53</v>
      </c>
      <c r="D23" s="11">
        <f>0.000476*1000</f>
        <v>0.47600000000000003</v>
      </c>
      <c r="F23" s="20" t="s">
        <v>181</v>
      </c>
      <c r="G23" t="s">
        <v>59</v>
      </c>
      <c r="H23" t="s">
        <v>60</v>
      </c>
      <c r="I23" t="s">
        <v>32</v>
      </c>
    </row>
    <row r="24" spans="1:9" x14ac:dyDescent="0.35">
      <c r="A24" t="s">
        <v>172</v>
      </c>
      <c r="B24" t="s">
        <v>141</v>
      </c>
      <c r="C24" t="s">
        <v>53</v>
      </c>
      <c r="D24">
        <v>0.29528799999999999</v>
      </c>
      <c r="E24" t="s">
        <v>144</v>
      </c>
      <c r="F24" s="20" t="s">
        <v>180</v>
      </c>
      <c r="G24" t="s">
        <v>67</v>
      </c>
    </row>
    <row r="25" spans="1:9" x14ac:dyDescent="0.35">
      <c r="A25" t="s">
        <v>173</v>
      </c>
      <c r="B25" t="s">
        <v>142</v>
      </c>
      <c r="C25" t="s">
        <v>53</v>
      </c>
      <c r="D25">
        <v>0.168736</v>
      </c>
      <c r="E25" t="s">
        <v>144</v>
      </c>
      <c r="F25" s="20" t="s">
        <v>180</v>
      </c>
      <c r="G25" t="s">
        <v>67</v>
      </c>
    </row>
    <row r="26" spans="1:9" x14ac:dyDescent="0.35">
      <c r="A26" t="s">
        <v>185</v>
      </c>
      <c r="B26" t="s">
        <v>143</v>
      </c>
      <c r="C26" t="s">
        <v>53</v>
      </c>
      <c r="D26">
        <v>0.253104</v>
      </c>
      <c r="E26" t="s">
        <v>144</v>
      </c>
      <c r="F26" s="20" t="s">
        <v>180</v>
      </c>
      <c r="G26" t="s">
        <v>67</v>
      </c>
    </row>
    <row r="27" spans="1:9" x14ac:dyDescent="0.35">
      <c r="B27" s="11"/>
    </row>
    <row r="28" spans="1:9" x14ac:dyDescent="0.35">
      <c r="B28" s="11"/>
    </row>
    <row r="29" spans="1:9" x14ac:dyDescent="0.35">
      <c r="B29" s="11"/>
    </row>
    <row r="30" spans="1:9" x14ac:dyDescent="0.35">
      <c r="D30" s="12"/>
    </row>
    <row r="31" spans="1:9" x14ac:dyDescent="0.35">
      <c r="D31" s="12"/>
    </row>
    <row r="32" spans="1:9" x14ac:dyDescent="0.35">
      <c r="D32" s="12"/>
    </row>
    <row r="33" spans="1:9" x14ac:dyDescent="0.35">
      <c r="D33" s="12"/>
    </row>
    <row r="34" spans="1:9" x14ac:dyDescent="0.35">
      <c r="D34" s="12"/>
    </row>
    <row r="35" spans="1:9" x14ac:dyDescent="0.35">
      <c r="D35" s="12"/>
    </row>
    <row r="36" spans="1:9" x14ac:dyDescent="0.35">
      <c r="A36" s="1" t="s">
        <v>1</v>
      </c>
      <c r="B36" s="2" t="s">
        <v>253</v>
      </c>
      <c r="C36" s="2"/>
      <c r="D36" s="2"/>
      <c r="E36" s="2"/>
      <c r="F36" s="2"/>
      <c r="G36" s="2"/>
      <c r="H36" s="2"/>
      <c r="I36" s="2"/>
    </row>
    <row r="37" spans="1:9" x14ac:dyDescent="0.35">
      <c r="A37" s="3" t="s">
        <v>2</v>
      </c>
      <c r="B37" t="s">
        <v>68</v>
      </c>
    </row>
    <row r="38" spans="1:9" x14ac:dyDescent="0.35">
      <c r="A38" s="4" t="s">
        <v>3</v>
      </c>
      <c r="B38" s="5" t="s">
        <v>4</v>
      </c>
      <c r="C38" s="5"/>
      <c r="D38" s="5"/>
      <c r="E38" s="5"/>
      <c r="F38" s="5"/>
      <c r="G38" s="5"/>
      <c r="H38" s="5"/>
      <c r="I38" s="5"/>
    </row>
    <row r="39" spans="1:9" x14ac:dyDescent="0.35">
      <c r="A39" s="4" t="s">
        <v>5</v>
      </c>
      <c r="B39" s="6">
        <v>1</v>
      </c>
      <c r="C39" s="5"/>
      <c r="D39" s="5"/>
      <c r="E39" s="5"/>
      <c r="F39" s="5"/>
      <c r="G39" s="5"/>
      <c r="H39" s="5"/>
      <c r="I39" s="5"/>
    </row>
    <row r="40" spans="1:9" x14ac:dyDescent="0.35">
      <c r="A40" s="4" t="s">
        <v>6</v>
      </c>
      <c r="B40" s="5" t="s">
        <v>7</v>
      </c>
      <c r="C40" s="5"/>
      <c r="D40" s="5"/>
      <c r="E40" s="5"/>
      <c r="F40" s="5"/>
      <c r="G40" s="5"/>
      <c r="H40" s="5"/>
      <c r="I40" s="5"/>
    </row>
    <row r="42" spans="1:9" x14ac:dyDescent="0.35">
      <c r="A42" s="3" t="s">
        <v>8</v>
      </c>
    </row>
    <row r="43" spans="1:9" x14ac:dyDescent="0.35">
      <c r="A43" s="3" t="s">
        <v>9</v>
      </c>
      <c r="B43" s="3" t="s">
        <v>10</v>
      </c>
      <c r="C43" s="3" t="s">
        <v>6</v>
      </c>
      <c r="D43" s="8" t="s">
        <v>11</v>
      </c>
      <c r="E43" s="3" t="s">
        <v>3</v>
      </c>
      <c r="F43" s="3" t="s">
        <v>12</v>
      </c>
      <c r="G43" s="3" t="s">
        <v>13</v>
      </c>
      <c r="H43" s="3" t="s">
        <v>14</v>
      </c>
      <c r="I43" t="s">
        <v>2</v>
      </c>
    </row>
    <row r="44" spans="1:9" x14ac:dyDescent="0.35">
      <c r="A44" t="str">
        <f>B36</f>
        <v xml:space="preserve">AD_literature </v>
      </c>
      <c r="B44" t="s">
        <v>15</v>
      </c>
      <c r="C44" t="s">
        <v>7</v>
      </c>
      <c r="D44" s="12">
        <v>1</v>
      </c>
      <c r="E44" t="str">
        <f>B38</f>
        <v>CA-QC</v>
      </c>
      <c r="F44" t="str">
        <f>$B$1</f>
        <v>SA OWM Facilities</v>
      </c>
      <c r="G44" t="s">
        <v>16</v>
      </c>
    </row>
    <row r="45" spans="1:9" x14ac:dyDescent="0.35">
      <c r="A45" t="s">
        <v>33</v>
      </c>
      <c r="B45" t="s">
        <v>34</v>
      </c>
      <c r="C45" t="s">
        <v>35</v>
      </c>
      <c r="D45" s="10">
        <f>1000*0.002135</f>
        <v>2.1350000000000002</v>
      </c>
      <c r="E45" t="str">
        <f>E44</f>
        <v>CA-QC</v>
      </c>
      <c r="F45" s="20" t="s">
        <v>180</v>
      </c>
      <c r="G45" t="s">
        <v>18</v>
      </c>
    </row>
    <row r="46" spans="1:9" x14ac:dyDescent="0.35">
      <c r="A46" t="s">
        <v>70</v>
      </c>
      <c r="B46" t="s">
        <v>71</v>
      </c>
      <c r="C46" t="s">
        <v>72</v>
      </c>
      <c r="D46" s="10">
        <f>1000*0.2416</f>
        <v>241.60000000000002</v>
      </c>
      <c r="E46" t="s">
        <v>49</v>
      </c>
      <c r="F46" s="20" t="s">
        <v>180</v>
      </c>
      <c r="G46" t="s">
        <v>18</v>
      </c>
    </row>
    <row r="47" spans="1:9" x14ac:dyDescent="0.35">
      <c r="A47" t="s">
        <v>37</v>
      </c>
      <c r="B47" t="s">
        <v>38</v>
      </c>
      <c r="C47" t="s">
        <v>39</v>
      </c>
      <c r="D47" s="10">
        <f>1000*0.000352112676056338</f>
        <v>0.352112676056338</v>
      </c>
      <c r="E47" t="s">
        <v>40</v>
      </c>
      <c r="F47" s="20" t="s">
        <v>180</v>
      </c>
      <c r="G47" t="s">
        <v>18</v>
      </c>
    </row>
    <row r="48" spans="1:9" x14ac:dyDescent="0.35">
      <c r="A48" t="s">
        <v>73</v>
      </c>
      <c r="B48" t="s">
        <v>74</v>
      </c>
      <c r="C48" t="s">
        <v>53</v>
      </c>
      <c r="D48" s="10">
        <f>1000*0.225</f>
        <v>225</v>
      </c>
      <c r="E48" t="s">
        <v>69</v>
      </c>
      <c r="F48" s="20" t="s">
        <v>180</v>
      </c>
      <c r="G48" t="s">
        <v>18</v>
      </c>
    </row>
    <row r="49" spans="1:9" x14ac:dyDescent="0.35">
      <c r="A49" t="s">
        <v>44</v>
      </c>
      <c r="B49" t="s">
        <v>45</v>
      </c>
      <c r="C49" t="s">
        <v>43</v>
      </c>
      <c r="D49" s="10">
        <f>Transportation!B15</f>
        <v>0</v>
      </c>
      <c r="E49" t="s">
        <v>46</v>
      </c>
      <c r="F49" s="20" t="s">
        <v>180</v>
      </c>
      <c r="G49" t="s">
        <v>18</v>
      </c>
    </row>
    <row r="50" spans="1:9" x14ac:dyDescent="0.35">
      <c r="A50" t="s">
        <v>62</v>
      </c>
      <c r="C50" t="s">
        <v>53</v>
      </c>
      <c r="D50" s="11">
        <f>1000*0.0001456</f>
        <v>0.14559999999999998</v>
      </c>
      <c r="F50" s="20" t="s">
        <v>181</v>
      </c>
      <c r="G50" t="s">
        <v>59</v>
      </c>
      <c r="H50" t="s">
        <v>60</v>
      </c>
    </row>
    <row r="51" spans="1:9" x14ac:dyDescent="0.35">
      <c r="A51" t="s">
        <v>63</v>
      </c>
      <c r="C51" t="s">
        <v>53</v>
      </c>
      <c r="D51" s="11">
        <f>1000*0.0916</f>
        <v>91.6</v>
      </c>
      <c r="F51" s="20" t="s">
        <v>181</v>
      </c>
      <c r="G51" t="s">
        <v>59</v>
      </c>
      <c r="H51" t="s">
        <v>60</v>
      </c>
    </row>
    <row r="52" spans="1:9" x14ac:dyDescent="0.35">
      <c r="A52" t="s">
        <v>64</v>
      </c>
      <c r="C52" t="s">
        <v>53</v>
      </c>
      <c r="D52" s="11">
        <f>1000*0.00008</f>
        <v>0.08</v>
      </c>
      <c r="F52" s="20" t="s">
        <v>181</v>
      </c>
      <c r="G52" t="s">
        <v>59</v>
      </c>
      <c r="H52" t="s">
        <v>60</v>
      </c>
    </row>
    <row r="53" spans="1:9" x14ac:dyDescent="0.35">
      <c r="A53" t="s">
        <v>65</v>
      </c>
      <c r="C53" t="s">
        <v>53</v>
      </c>
      <c r="D53" s="11">
        <f>1000*0.0000896</f>
        <v>8.9599999999999999E-2</v>
      </c>
      <c r="F53" s="20" t="s">
        <v>181</v>
      </c>
      <c r="G53" t="s">
        <v>59</v>
      </c>
      <c r="H53" t="s">
        <v>60</v>
      </c>
    </row>
    <row r="54" spans="1:9" x14ac:dyDescent="0.35">
      <c r="A54" t="s">
        <v>66</v>
      </c>
      <c r="C54" t="s">
        <v>53</v>
      </c>
      <c r="D54" s="11">
        <f>1000*0.00274</f>
        <v>2.7399999999999998</v>
      </c>
      <c r="F54" s="20" t="s">
        <v>181</v>
      </c>
      <c r="G54" t="s">
        <v>59</v>
      </c>
      <c r="H54" t="s">
        <v>60</v>
      </c>
    </row>
    <row r="55" spans="1:9" x14ac:dyDescent="0.35">
      <c r="A55" t="s">
        <v>184</v>
      </c>
      <c r="C55" t="s">
        <v>53</v>
      </c>
      <c r="D55" s="10">
        <f>1000*0.000426</f>
        <v>0.42599999999999999</v>
      </c>
      <c r="F55" s="20" t="s">
        <v>181</v>
      </c>
      <c r="G55" t="s">
        <v>59</v>
      </c>
      <c r="H55" t="s">
        <v>60</v>
      </c>
    </row>
    <row r="56" spans="1:9" x14ac:dyDescent="0.35">
      <c r="A56" t="s">
        <v>75</v>
      </c>
      <c r="C56" t="s">
        <v>53</v>
      </c>
      <c r="D56" s="10">
        <f>1000*0.00000297</f>
        <v>2.97E-3</v>
      </c>
      <c r="F56" s="20" t="s">
        <v>181</v>
      </c>
      <c r="G56" t="s">
        <v>59</v>
      </c>
      <c r="H56" t="s">
        <v>60</v>
      </c>
    </row>
    <row r="57" spans="1:9" x14ac:dyDescent="0.35">
      <c r="A57" t="s">
        <v>76</v>
      </c>
      <c r="C57" t="s">
        <v>53</v>
      </c>
      <c r="D57" s="10">
        <f>1000*0.0000000928</f>
        <v>9.2799999999999992E-5</v>
      </c>
      <c r="F57" s="20" t="s">
        <v>181</v>
      </c>
      <c r="G57" t="s">
        <v>59</v>
      </c>
      <c r="H57" t="s">
        <v>58</v>
      </c>
    </row>
    <row r="58" spans="1:9" x14ac:dyDescent="0.35">
      <c r="A58" t="s">
        <v>77</v>
      </c>
      <c r="C58" t="s">
        <v>53</v>
      </c>
      <c r="D58" s="10">
        <f>1000*0.000000109</f>
        <v>1.0899999999999999E-4</v>
      </c>
      <c r="F58" s="20" t="s">
        <v>181</v>
      </c>
      <c r="G58" t="s">
        <v>59</v>
      </c>
      <c r="H58" t="s">
        <v>58</v>
      </c>
    </row>
    <row r="59" spans="1:9" x14ac:dyDescent="0.35">
      <c r="A59" t="s">
        <v>78</v>
      </c>
      <c r="C59" t="s">
        <v>53</v>
      </c>
      <c r="D59" s="10">
        <f>1000*0.0000000704</f>
        <v>7.039999999999999E-5</v>
      </c>
      <c r="F59" s="20" t="s">
        <v>181</v>
      </c>
      <c r="G59" t="s">
        <v>59</v>
      </c>
      <c r="H59" t="s">
        <v>60</v>
      </c>
    </row>
    <row r="60" spans="1:9" x14ac:dyDescent="0.35">
      <c r="A60" t="s">
        <v>182</v>
      </c>
      <c r="B60" t="s">
        <v>55</v>
      </c>
      <c r="C60" t="s">
        <v>56</v>
      </c>
      <c r="D60">
        <v>-0.22500000000000001</v>
      </c>
      <c r="E60" t="s">
        <v>4</v>
      </c>
      <c r="F60" s="20" t="s">
        <v>180</v>
      </c>
      <c r="G60" t="s">
        <v>18</v>
      </c>
      <c r="I60" t="s">
        <v>32</v>
      </c>
    </row>
    <row r="61" spans="1:9" x14ac:dyDescent="0.35">
      <c r="A61" t="s">
        <v>177</v>
      </c>
      <c r="B61" t="s">
        <v>176</v>
      </c>
      <c r="C61" t="s">
        <v>56</v>
      </c>
      <c r="D61">
        <f>'Natural gas credit'!B15</f>
        <v>31.419429366736257</v>
      </c>
      <c r="E61" t="s">
        <v>183</v>
      </c>
      <c r="F61" s="20" t="s">
        <v>180</v>
      </c>
      <c r="G61" t="s">
        <v>67</v>
      </c>
    </row>
    <row r="62" spans="1:9" x14ac:dyDescent="0.35">
      <c r="A62" t="s">
        <v>172</v>
      </c>
      <c r="B62" t="s">
        <v>141</v>
      </c>
      <c r="C62" t="s">
        <v>53</v>
      </c>
      <c r="D62">
        <f>620*0.4</f>
        <v>248</v>
      </c>
      <c r="E62" t="s">
        <v>144</v>
      </c>
      <c r="F62" s="20" t="s">
        <v>180</v>
      </c>
      <c r="G62" t="s">
        <v>67</v>
      </c>
      <c r="I62" t="s">
        <v>204</v>
      </c>
    </row>
    <row r="64" spans="1:9" x14ac:dyDescent="0.35">
      <c r="A64" s="1" t="s">
        <v>1</v>
      </c>
      <c r="B64" t="s">
        <v>17</v>
      </c>
      <c r="C64" s="2"/>
      <c r="D64" s="2"/>
      <c r="E64" s="2"/>
      <c r="F64" s="2"/>
      <c r="G64" s="2"/>
      <c r="H64" s="2"/>
      <c r="I64" s="2"/>
    </row>
    <row r="65" spans="1:9" x14ac:dyDescent="0.35">
      <c r="A65" s="3" t="s">
        <v>2</v>
      </c>
      <c r="B65" t="s">
        <v>270</v>
      </c>
    </row>
    <row r="66" spans="1:9" x14ac:dyDescent="0.35">
      <c r="A66" s="4" t="s">
        <v>3</v>
      </c>
      <c r="B66" s="5" t="s">
        <v>4</v>
      </c>
      <c r="C66" s="5"/>
      <c r="D66" s="5"/>
      <c r="E66" s="5"/>
      <c r="F66" s="5"/>
      <c r="G66" s="5"/>
      <c r="H66" s="5"/>
      <c r="I66" s="5"/>
    </row>
    <row r="67" spans="1:9" x14ac:dyDescent="0.35">
      <c r="A67" s="4" t="s">
        <v>5</v>
      </c>
      <c r="B67" s="6">
        <v>1</v>
      </c>
      <c r="C67" s="5"/>
      <c r="D67" s="5"/>
      <c r="E67" s="5"/>
      <c r="F67" s="5"/>
      <c r="G67" s="5"/>
      <c r="H67" s="5"/>
      <c r="I67" s="5"/>
    </row>
    <row r="68" spans="1:9" x14ac:dyDescent="0.35">
      <c r="A68" s="4" t="s">
        <v>6</v>
      </c>
      <c r="B68" s="5" t="s">
        <v>7</v>
      </c>
      <c r="C68" s="5"/>
      <c r="D68" s="5"/>
      <c r="E68" s="5"/>
      <c r="F68" s="5"/>
      <c r="G68" s="5"/>
      <c r="H68" s="5"/>
      <c r="I68" s="5"/>
    </row>
    <row r="70" spans="1:9" x14ac:dyDescent="0.35">
      <c r="A70" s="3" t="s">
        <v>8</v>
      </c>
    </row>
    <row r="71" spans="1:9" x14ac:dyDescent="0.35">
      <c r="A71" s="3" t="s">
        <v>9</v>
      </c>
      <c r="B71" s="3" t="s">
        <v>10</v>
      </c>
      <c r="C71" s="3" t="s">
        <v>6</v>
      </c>
      <c r="D71" s="8" t="s">
        <v>11</v>
      </c>
      <c r="E71" s="3" t="s">
        <v>3</v>
      </c>
      <c r="F71" s="3" t="s">
        <v>12</v>
      </c>
      <c r="G71" s="3" t="s">
        <v>13</v>
      </c>
      <c r="H71" s="3" t="s">
        <v>14</v>
      </c>
      <c r="I71" t="s">
        <v>2</v>
      </c>
    </row>
    <row r="72" spans="1:9" x14ac:dyDescent="0.35">
      <c r="A72" t="s">
        <v>17</v>
      </c>
      <c r="B72" t="s">
        <v>15</v>
      </c>
      <c r="C72" t="s">
        <v>7</v>
      </c>
      <c r="D72" s="12">
        <v>1</v>
      </c>
      <c r="E72" t="s">
        <v>4</v>
      </c>
      <c r="F72" t="str">
        <f>$B$1</f>
        <v>SA OWM Facilities</v>
      </c>
      <c r="G72" t="s">
        <v>16</v>
      </c>
    </row>
    <row r="73" spans="1:9" x14ac:dyDescent="0.35">
      <c r="A73" t="s">
        <v>44</v>
      </c>
      <c r="B73" t="s">
        <v>45</v>
      </c>
      <c r="C73" t="s">
        <v>43</v>
      </c>
      <c r="D73" s="13">
        <f>Transportation!B4</f>
        <v>45</v>
      </c>
      <c r="E73" t="s">
        <v>46</v>
      </c>
      <c r="F73" s="20" t="s">
        <v>180</v>
      </c>
      <c r="G73" t="s">
        <v>18</v>
      </c>
    </row>
    <row r="74" spans="1:9" x14ac:dyDescent="0.35">
      <c r="A74" t="s">
        <v>186</v>
      </c>
      <c r="B74" t="s">
        <v>187</v>
      </c>
      <c r="C74" t="s">
        <v>53</v>
      </c>
      <c r="D74" s="13">
        <f>'Comparing models'!D21</f>
        <v>0.68883085661884558</v>
      </c>
      <c r="E74" t="s">
        <v>49</v>
      </c>
      <c r="F74" s="20" t="s">
        <v>180</v>
      </c>
      <c r="G74" t="s">
        <v>18</v>
      </c>
      <c r="I74" t="s">
        <v>36</v>
      </c>
    </row>
    <row r="75" spans="1:9" x14ac:dyDescent="0.35">
      <c r="A75" t="s">
        <v>131</v>
      </c>
      <c r="C75" t="s">
        <v>53</v>
      </c>
      <c r="D75" s="13">
        <v>73.250026790475331</v>
      </c>
      <c r="F75" s="20" t="s">
        <v>181</v>
      </c>
      <c r="G75" t="s">
        <v>59</v>
      </c>
      <c r="H75" t="s">
        <v>175</v>
      </c>
    </row>
    <row r="76" spans="1:9" x14ac:dyDescent="0.35">
      <c r="A76" t="s">
        <v>66</v>
      </c>
      <c r="C76" t="s">
        <v>53</v>
      </c>
      <c r="D76" s="13">
        <v>44.250229990800371</v>
      </c>
      <c r="F76" s="20" t="s">
        <v>181</v>
      </c>
      <c r="G76" t="s">
        <v>59</v>
      </c>
      <c r="H76" t="s">
        <v>60</v>
      </c>
    </row>
    <row r="77" spans="1:9" x14ac:dyDescent="0.35">
      <c r="A77" t="s">
        <v>177</v>
      </c>
      <c r="B77" t="s">
        <v>176</v>
      </c>
      <c r="C77" t="s">
        <v>56</v>
      </c>
      <c r="D77">
        <f>'Natural gas credit'!B17</f>
        <v>292.4798936555211</v>
      </c>
      <c r="E77" t="s">
        <v>183</v>
      </c>
      <c r="F77" s="20" t="s">
        <v>180</v>
      </c>
      <c r="G77" t="s">
        <v>67</v>
      </c>
    </row>
    <row r="78" spans="1:9" x14ac:dyDescent="0.35">
      <c r="A78" t="s">
        <v>64</v>
      </c>
      <c r="C78" t="s">
        <v>53</v>
      </c>
      <c r="D78">
        <v>9.8470135268663328E-2</v>
      </c>
      <c r="F78" s="20" t="s">
        <v>181</v>
      </c>
      <c r="G78" t="s">
        <v>59</v>
      </c>
      <c r="H78" t="s">
        <v>60</v>
      </c>
      <c r="I78" t="s">
        <v>32</v>
      </c>
    </row>
    <row r="79" spans="1:9" x14ac:dyDescent="0.35">
      <c r="A79" t="s">
        <v>33</v>
      </c>
      <c r="B79" t="s">
        <v>34</v>
      </c>
      <c r="C79" t="s">
        <v>35</v>
      </c>
      <c r="D79">
        <v>36.273732772249062</v>
      </c>
      <c r="E79" t="s">
        <v>4</v>
      </c>
      <c r="F79" t="s">
        <v>180</v>
      </c>
      <c r="G79" t="s">
        <v>18</v>
      </c>
    </row>
    <row r="80" spans="1:9" x14ac:dyDescent="0.35">
      <c r="A80" t="s">
        <v>63</v>
      </c>
      <c r="C80" t="s">
        <v>53</v>
      </c>
      <c r="D80">
        <v>410.59899826229173</v>
      </c>
      <c r="F80" s="20" t="s">
        <v>181</v>
      </c>
      <c r="G80" t="s">
        <v>59</v>
      </c>
      <c r="H80" t="s">
        <v>60</v>
      </c>
      <c r="I80" t="s">
        <v>32</v>
      </c>
    </row>
    <row r="81" spans="1:9" x14ac:dyDescent="0.35">
      <c r="A81" s="1" t="s">
        <v>1</v>
      </c>
      <c r="B81" t="s">
        <v>19</v>
      </c>
      <c r="C81" s="2"/>
      <c r="D81" s="2"/>
      <c r="E81" s="2"/>
      <c r="F81" s="2"/>
      <c r="G81" s="2"/>
      <c r="H81" s="2"/>
      <c r="I81" s="2"/>
    </row>
    <row r="82" spans="1:9" x14ac:dyDescent="0.35">
      <c r="A82" s="3" t="s">
        <v>2</v>
      </c>
      <c r="B82" t="s">
        <v>270</v>
      </c>
    </row>
    <row r="83" spans="1:9" x14ac:dyDescent="0.35">
      <c r="A83" s="4" t="s">
        <v>3</v>
      </c>
      <c r="B83" s="5" t="s">
        <v>4</v>
      </c>
      <c r="C83" s="5"/>
      <c r="D83" s="5"/>
      <c r="E83" s="5"/>
      <c r="F83" s="5"/>
      <c r="G83" s="5"/>
      <c r="H83" s="5"/>
      <c r="I83" s="5"/>
    </row>
    <row r="84" spans="1:9" x14ac:dyDescent="0.35">
      <c r="A84" s="4" t="s">
        <v>5</v>
      </c>
      <c r="B84" s="6">
        <v>1</v>
      </c>
      <c r="C84" s="5"/>
      <c r="D84" s="5"/>
      <c r="E84" s="5"/>
      <c r="F84" s="5"/>
      <c r="G84" s="5"/>
      <c r="H84" s="5"/>
      <c r="I84" s="5"/>
    </row>
    <row r="85" spans="1:9" x14ac:dyDescent="0.35">
      <c r="A85" s="4" t="s">
        <v>6</v>
      </c>
      <c r="B85" s="5" t="s">
        <v>7</v>
      </c>
      <c r="C85" s="5"/>
      <c r="D85" s="5"/>
      <c r="E85" s="5"/>
      <c r="F85" s="5"/>
      <c r="G85" s="5"/>
      <c r="H85" s="5"/>
      <c r="I85" s="5"/>
    </row>
    <row r="87" spans="1:9" x14ac:dyDescent="0.35">
      <c r="A87" s="3" t="s">
        <v>8</v>
      </c>
    </row>
    <row r="88" spans="1:9" x14ac:dyDescent="0.35">
      <c r="A88" s="3" t="s">
        <v>9</v>
      </c>
      <c r="B88" s="3" t="s">
        <v>10</v>
      </c>
      <c r="C88" s="3" t="s">
        <v>6</v>
      </c>
      <c r="D88" s="8" t="s">
        <v>11</v>
      </c>
      <c r="E88" s="3" t="s">
        <v>3</v>
      </c>
      <c r="F88" s="3" t="s">
        <v>12</v>
      </c>
      <c r="G88" s="3" t="s">
        <v>13</v>
      </c>
      <c r="H88" s="3" t="s">
        <v>14</v>
      </c>
      <c r="I88" t="s">
        <v>2</v>
      </c>
    </row>
    <row r="89" spans="1:9" x14ac:dyDescent="0.35">
      <c r="A89" t="str">
        <f>B81</f>
        <v>Landfill_terrebonne</v>
      </c>
      <c r="B89" t="s">
        <v>15</v>
      </c>
      <c r="C89" t="s">
        <v>7</v>
      </c>
      <c r="D89" s="12">
        <v>1</v>
      </c>
      <c r="E89" t="s">
        <v>4</v>
      </c>
      <c r="F89" t="str">
        <f>$B$1</f>
        <v>SA OWM Facilities</v>
      </c>
      <c r="G89" t="s">
        <v>16</v>
      </c>
    </row>
    <row r="90" spans="1:9" x14ac:dyDescent="0.35">
      <c r="A90" t="s">
        <v>44</v>
      </c>
      <c r="B90" t="s">
        <v>45</v>
      </c>
      <c r="C90" t="s">
        <v>43</v>
      </c>
      <c r="D90" s="13">
        <f>Transportation!B5</f>
        <v>32</v>
      </c>
      <c r="E90" t="s">
        <v>46</v>
      </c>
      <c r="F90" s="20" t="s">
        <v>180</v>
      </c>
      <c r="G90" t="s">
        <v>18</v>
      </c>
    </row>
    <row r="91" spans="1:9" x14ac:dyDescent="0.35">
      <c r="A91" t="s">
        <v>186</v>
      </c>
      <c r="B91" t="s">
        <v>187</v>
      </c>
      <c r="C91" t="s">
        <v>53</v>
      </c>
      <c r="D91" s="13">
        <v>0.68883085661884558</v>
      </c>
      <c r="E91" t="s">
        <v>49</v>
      </c>
      <c r="F91" s="20" t="s">
        <v>180</v>
      </c>
      <c r="G91" t="s">
        <v>18</v>
      </c>
      <c r="I91" t="s">
        <v>36</v>
      </c>
    </row>
    <row r="92" spans="1:9" x14ac:dyDescent="0.35">
      <c r="A92" t="s">
        <v>131</v>
      </c>
      <c r="C92" t="s">
        <v>53</v>
      </c>
      <c r="D92" s="13">
        <v>73.250026790475331</v>
      </c>
      <c r="F92" s="20" t="s">
        <v>181</v>
      </c>
      <c r="G92" t="s">
        <v>59</v>
      </c>
      <c r="H92" t="s">
        <v>175</v>
      </c>
    </row>
    <row r="93" spans="1:9" x14ac:dyDescent="0.35">
      <c r="A93" t="s">
        <v>66</v>
      </c>
      <c r="C93" t="s">
        <v>53</v>
      </c>
      <c r="D93">
        <v>44.250229990800371</v>
      </c>
      <c r="F93" s="20" t="s">
        <v>181</v>
      </c>
      <c r="G93" t="s">
        <v>59</v>
      </c>
      <c r="H93" t="s">
        <v>60</v>
      </c>
    </row>
    <row r="94" spans="1:9" x14ac:dyDescent="0.35">
      <c r="A94" t="s">
        <v>177</v>
      </c>
      <c r="B94" t="s">
        <v>176</v>
      </c>
      <c r="C94" t="s">
        <v>56</v>
      </c>
      <c r="D94">
        <v>109.57129105566415</v>
      </c>
      <c r="E94" t="s">
        <v>183</v>
      </c>
      <c r="F94" s="20" t="s">
        <v>180</v>
      </c>
      <c r="G94" t="s">
        <v>67</v>
      </c>
    </row>
    <row r="95" spans="1:9" x14ac:dyDescent="0.35">
      <c r="A95" t="s">
        <v>64</v>
      </c>
      <c r="C95" t="s">
        <v>53</v>
      </c>
      <c r="D95">
        <v>9.8470135268663328E-2</v>
      </c>
      <c r="F95" s="20" t="s">
        <v>181</v>
      </c>
      <c r="G95" t="s">
        <v>59</v>
      </c>
      <c r="H95" t="s">
        <v>60</v>
      </c>
      <c r="I95" t="s">
        <v>32</v>
      </c>
    </row>
    <row r="96" spans="1:9" x14ac:dyDescent="0.35">
      <c r="A96" t="s">
        <v>63</v>
      </c>
      <c r="C96" t="s">
        <v>53</v>
      </c>
      <c r="D96">
        <v>410.59899826229173</v>
      </c>
      <c r="F96" s="20" t="s">
        <v>181</v>
      </c>
      <c r="G96" t="s">
        <v>59</v>
      </c>
      <c r="H96" t="s">
        <v>60</v>
      </c>
      <c r="I96" t="s">
        <v>32</v>
      </c>
    </row>
    <row r="97" spans="1:9" x14ac:dyDescent="0.35">
      <c r="A97" t="s">
        <v>33</v>
      </c>
      <c r="B97" t="s">
        <v>34</v>
      </c>
      <c r="C97" t="s">
        <v>35</v>
      </c>
      <c r="D97">
        <v>36.273732772249062</v>
      </c>
      <c r="E97" t="s">
        <v>4</v>
      </c>
      <c r="F97" t="s">
        <v>180</v>
      </c>
      <c r="G97" t="s">
        <v>18</v>
      </c>
    </row>
    <row r="98" spans="1:9" x14ac:dyDescent="0.35">
      <c r="A98" s="1" t="s">
        <v>1</v>
      </c>
      <c r="B98" t="s">
        <v>20</v>
      </c>
      <c r="C98" s="2"/>
      <c r="D98" s="2"/>
      <c r="E98" s="2"/>
      <c r="F98" s="2"/>
      <c r="G98" s="2"/>
      <c r="H98" s="2"/>
      <c r="I98" s="2"/>
    </row>
    <row r="99" spans="1:9" x14ac:dyDescent="0.35">
      <c r="A99" s="3" t="s">
        <v>2</v>
      </c>
      <c r="B99" t="s">
        <v>270</v>
      </c>
    </row>
    <row r="100" spans="1:9" x14ac:dyDescent="0.35">
      <c r="A100" s="4" t="s">
        <v>3</v>
      </c>
      <c r="B100" s="5" t="s">
        <v>4</v>
      </c>
      <c r="C100" s="5"/>
      <c r="D100" s="5"/>
      <c r="E100" s="5"/>
      <c r="F100" s="5"/>
      <c r="G100" s="5"/>
      <c r="H100" s="5"/>
      <c r="I100" s="5"/>
    </row>
    <row r="101" spans="1:9" x14ac:dyDescent="0.35">
      <c r="A101" s="4" t="s">
        <v>5</v>
      </c>
      <c r="B101" s="6">
        <v>1</v>
      </c>
      <c r="C101" s="5"/>
      <c r="D101" s="5"/>
      <c r="E101" s="5"/>
      <c r="F101" s="5"/>
      <c r="G101" s="5"/>
      <c r="H101" s="5"/>
      <c r="I101" s="5"/>
    </row>
    <row r="102" spans="1:9" x14ac:dyDescent="0.35">
      <c r="A102" s="4" t="s">
        <v>6</v>
      </c>
      <c r="B102" s="5" t="s">
        <v>7</v>
      </c>
      <c r="C102" s="5"/>
      <c r="D102" s="5"/>
      <c r="E102" s="5"/>
      <c r="F102" s="5"/>
      <c r="G102" s="5"/>
      <c r="H102" s="5"/>
      <c r="I102" s="5"/>
    </row>
    <row r="104" spans="1:9" x14ac:dyDescent="0.35">
      <c r="A104" s="3" t="s">
        <v>8</v>
      </c>
    </row>
    <row r="105" spans="1:9" x14ac:dyDescent="0.35">
      <c r="A105" s="3" t="s">
        <v>9</v>
      </c>
      <c r="B105" s="3" t="s">
        <v>10</v>
      </c>
      <c r="C105" s="3" t="s">
        <v>6</v>
      </c>
      <c r="D105" s="8" t="s">
        <v>11</v>
      </c>
      <c r="E105" s="3" t="s">
        <v>3</v>
      </c>
      <c r="F105" s="3" t="s">
        <v>12</v>
      </c>
      <c r="G105" s="3" t="s">
        <v>13</v>
      </c>
      <c r="H105" s="3" t="s">
        <v>14</v>
      </c>
      <c r="I105" t="s">
        <v>2</v>
      </c>
    </row>
    <row r="106" spans="1:9" x14ac:dyDescent="0.35">
      <c r="A106" t="str">
        <f>B98</f>
        <v>Landfill_saint_thomas</v>
      </c>
      <c r="B106" t="s">
        <v>15</v>
      </c>
      <c r="C106" t="s">
        <v>7</v>
      </c>
      <c r="D106" s="12">
        <v>1</v>
      </c>
      <c r="E106" t="s">
        <v>4</v>
      </c>
      <c r="F106" t="str">
        <f>$B$1</f>
        <v>SA OWM Facilities</v>
      </c>
      <c r="G106" t="s">
        <v>16</v>
      </c>
    </row>
    <row r="107" spans="1:9" x14ac:dyDescent="0.35">
      <c r="A107" t="s">
        <v>44</v>
      </c>
      <c r="B107" t="s">
        <v>45</v>
      </c>
      <c r="C107" t="s">
        <v>43</v>
      </c>
      <c r="D107" s="13">
        <f>Transportation!B6</f>
        <v>74</v>
      </c>
      <c r="E107" t="s">
        <v>46</v>
      </c>
      <c r="F107" s="20" t="s">
        <v>180</v>
      </c>
      <c r="G107" t="s">
        <v>18</v>
      </c>
    </row>
    <row r="108" spans="1:9" x14ac:dyDescent="0.35">
      <c r="A108" t="s">
        <v>186</v>
      </c>
      <c r="B108" t="s">
        <v>187</v>
      </c>
      <c r="C108" t="s">
        <v>53</v>
      </c>
      <c r="D108">
        <v>0.68883085661884558</v>
      </c>
      <c r="E108" t="s">
        <v>49</v>
      </c>
      <c r="F108" s="20" t="s">
        <v>180</v>
      </c>
      <c r="G108" t="s">
        <v>18</v>
      </c>
      <c r="I108" t="s">
        <v>36</v>
      </c>
    </row>
    <row r="109" spans="1:9" x14ac:dyDescent="0.35">
      <c r="A109" t="s">
        <v>131</v>
      </c>
      <c r="C109" t="s">
        <v>53</v>
      </c>
      <c r="D109" s="13">
        <v>73.250026790475331</v>
      </c>
      <c r="F109" s="20" t="s">
        <v>181</v>
      </c>
      <c r="G109" t="s">
        <v>59</v>
      </c>
      <c r="H109" t="s">
        <v>175</v>
      </c>
    </row>
    <row r="110" spans="1:9" x14ac:dyDescent="0.35">
      <c r="A110" t="s">
        <v>66</v>
      </c>
      <c r="C110" t="s">
        <v>53</v>
      </c>
      <c r="D110">
        <v>44.250229990800371</v>
      </c>
      <c r="F110" s="20" t="s">
        <v>181</v>
      </c>
      <c r="G110" t="s">
        <v>59</v>
      </c>
      <c r="H110" t="s">
        <v>60</v>
      </c>
    </row>
    <row r="111" spans="1:9" x14ac:dyDescent="0.35">
      <c r="A111" t="s">
        <v>177</v>
      </c>
      <c r="B111" t="s">
        <v>176</v>
      </c>
      <c r="C111" t="s">
        <v>56</v>
      </c>
      <c r="D111">
        <v>109.57129105566415</v>
      </c>
      <c r="E111" t="s">
        <v>183</v>
      </c>
      <c r="F111" s="20" t="s">
        <v>180</v>
      </c>
      <c r="G111" t="s">
        <v>67</v>
      </c>
    </row>
    <row r="112" spans="1:9" x14ac:dyDescent="0.35">
      <c r="A112" t="s">
        <v>64</v>
      </c>
      <c r="C112" t="s">
        <v>53</v>
      </c>
      <c r="D112">
        <v>9.8470135268663328E-2</v>
      </c>
      <c r="F112" t="s">
        <v>181</v>
      </c>
      <c r="G112" t="s">
        <v>59</v>
      </c>
      <c r="H112" t="s">
        <v>60</v>
      </c>
      <c r="I112" t="s">
        <v>32</v>
      </c>
    </row>
    <row r="113" spans="1:9" x14ac:dyDescent="0.35">
      <c r="A113" t="s">
        <v>63</v>
      </c>
      <c r="C113" t="s">
        <v>53</v>
      </c>
      <c r="D113">
        <v>410.59899826229173</v>
      </c>
      <c r="F113" t="s">
        <v>181</v>
      </c>
      <c r="G113" t="s">
        <v>59</v>
      </c>
      <c r="H113" t="s">
        <v>60</v>
      </c>
      <c r="I113" t="s">
        <v>32</v>
      </c>
    </row>
    <row r="114" spans="1:9" x14ac:dyDescent="0.35">
      <c r="A114" t="s">
        <v>33</v>
      </c>
      <c r="B114" t="s">
        <v>34</v>
      </c>
      <c r="C114" t="s">
        <v>35</v>
      </c>
      <c r="D114">
        <v>36.273732772249062</v>
      </c>
      <c r="E114" t="s">
        <v>4</v>
      </c>
      <c r="F114" s="20" t="s">
        <v>180</v>
      </c>
      <c r="G114" t="str">
        <f>G108</f>
        <v>technosphere</v>
      </c>
    </row>
    <row r="115" spans="1:9" x14ac:dyDescent="0.35">
      <c r="D115" s="11"/>
    </row>
    <row r="116" spans="1:9" x14ac:dyDescent="0.35">
      <c r="D116" s="11"/>
    </row>
    <row r="117" spans="1:9" x14ac:dyDescent="0.35">
      <c r="A117" s="1" t="s">
        <v>1</v>
      </c>
      <c r="B117" t="s">
        <v>21</v>
      </c>
      <c r="C117" s="2"/>
      <c r="D117" s="2"/>
      <c r="E117" s="2"/>
      <c r="F117" s="2"/>
      <c r="G117" s="2"/>
      <c r="H117" s="2"/>
      <c r="I117" s="2"/>
    </row>
    <row r="118" spans="1:9" x14ac:dyDescent="0.35">
      <c r="A118" s="3" t="s">
        <v>2</v>
      </c>
      <c r="B118" t="s">
        <v>270</v>
      </c>
    </row>
    <row r="119" spans="1:9" x14ac:dyDescent="0.35">
      <c r="A119" s="4" t="s">
        <v>3</v>
      </c>
      <c r="B119" s="5" t="s">
        <v>4</v>
      </c>
      <c r="C119" s="5"/>
      <c r="D119" s="5"/>
      <c r="E119" s="5"/>
      <c r="F119" s="5"/>
      <c r="G119" s="5"/>
      <c r="H119" s="5"/>
      <c r="I119" s="5"/>
    </row>
    <row r="120" spans="1:9" x14ac:dyDescent="0.35">
      <c r="A120" s="4" t="s">
        <v>5</v>
      </c>
      <c r="B120" s="6">
        <v>1</v>
      </c>
      <c r="C120" s="5"/>
      <c r="D120" s="5"/>
      <c r="E120" s="5"/>
      <c r="F120" s="5"/>
      <c r="G120" s="5"/>
      <c r="H120" s="5"/>
      <c r="I120" s="5"/>
    </row>
    <row r="121" spans="1:9" x14ac:dyDescent="0.35">
      <c r="A121" s="4" t="s">
        <v>6</v>
      </c>
      <c r="B121" s="5" t="s">
        <v>7</v>
      </c>
      <c r="C121" s="5"/>
      <c r="D121" s="5"/>
      <c r="E121" s="5"/>
      <c r="F121" s="5"/>
      <c r="G121" s="5"/>
      <c r="H121" s="5"/>
      <c r="I121" s="5"/>
    </row>
    <row r="123" spans="1:9" x14ac:dyDescent="0.35">
      <c r="A123" s="3" t="s">
        <v>8</v>
      </c>
      <c r="I123" s="14"/>
    </row>
    <row r="124" spans="1:9" x14ac:dyDescent="0.35">
      <c r="A124" s="3" t="s">
        <v>9</v>
      </c>
      <c r="B124" s="3" t="s">
        <v>10</v>
      </c>
      <c r="C124" s="3" t="s">
        <v>6</v>
      </c>
      <c r="D124" s="8" t="s">
        <v>11</v>
      </c>
      <c r="E124" s="3" t="s">
        <v>3</v>
      </c>
      <c r="F124" s="3" t="s">
        <v>12</v>
      </c>
      <c r="G124" s="3" t="s">
        <v>13</v>
      </c>
      <c r="H124" s="3" t="s">
        <v>14</v>
      </c>
      <c r="I124" t="s">
        <v>2</v>
      </c>
    </row>
    <row r="125" spans="1:9" x14ac:dyDescent="0.35">
      <c r="A125" t="str">
        <f>B117</f>
        <v>Landfill_lachute</v>
      </c>
      <c r="B125" t="s">
        <v>15</v>
      </c>
      <c r="C125" t="s">
        <v>7</v>
      </c>
      <c r="D125" s="12">
        <v>1</v>
      </c>
      <c r="E125" t="s">
        <v>4</v>
      </c>
      <c r="F125" t="str">
        <f>$B$1</f>
        <v>SA OWM Facilities</v>
      </c>
      <c r="G125" t="s">
        <v>16</v>
      </c>
    </row>
    <row r="126" spans="1:9" x14ac:dyDescent="0.35">
      <c r="A126" t="s">
        <v>44</v>
      </c>
      <c r="B126" t="s">
        <v>45</v>
      </c>
      <c r="C126" t="s">
        <v>43</v>
      </c>
      <c r="D126" s="13">
        <f>Transportation!B7</f>
        <v>77.400000000000006</v>
      </c>
      <c r="E126" t="s">
        <v>46</v>
      </c>
      <c r="F126" s="20" t="s">
        <v>180</v>
      </c>
      <c r="G126" t="s">
        <v>18</v>
      </c>
    </row>
    <row r="127" spans="1:9" x14ac:dyDescent="0.35">
      <c r="A127" t="s">
        <v>186</v>
      </c>
      <c r="B127" t="s">
        <v>187</v>
      </c>
      <c r="C127" t="s">
        <v>53</v>
      </c>
      <c r="D127">
        <v>0.68883085661884558</v>
      </c>
      <c r="E127" t="s">
        <v>49</v>
      </c>
      <c r="F127" s="20" t="s">
        <v>180</v>
      </c>
      <c r="G127" t="s">
        <v>18</v>
      </c>
      <c r="I127" t="s">
        <v>36</v>
      </c>
    </row>
    <row r="128" spans="1:9" x14ac:dyDescent="0.35">
      <c r="A128" t="s">
        <v>131</v>
      </c>
      <c r="C128" t="s">
        <v>53</v>
      </c>
      <c r="D128" s="13">
        <v>73.250026790475331</v>
      </c>
      <c r="F128" s="20" t="s">
        <v>181</v>
      </c>
      <c r="G128" t="s">
        <v>59</v>
      </c>
      <c r="H128" t="s">
        <v>175</v>
      </c>
    </row>
    <row r="129" spans="1:9" x14ac:dyDescent="0.35">
      <c r="A129" t="s">
        <v>66</v>
      </c>
      <c r="C129" t="s">
        <v>53</v>
      </c>
      <c r="D129">
        <v>44.250229990800371</v>
      </c>
      <c r="F129" s="20" t="s">
        <v>181</v>
      </c>
      <c r="G129" t="s">
        <v>59</v>
      </c>
      <c r="H129" t="s">
        <v>60</v>
      </c>
    </row>
    <row r="130" spans="1:9" x14ac:dyDescent="0.35">
      <c r="A130" t="s">
        <v>33</v>
      </c>
      <c r="B130" t="s">
        <v>34</v>
      </c>
      <c r="C130" t="s">
        <v>35</v>
      </c>
      <c r="D130">
        <f>'Comparing models'!D28</f>
        <v>36.273732772249062</v>
      </c>
      <c r="E130" t="s">
        <v>4</v>
      </c>
      <c r="F130" s="20" t="s">
        <v>180</v>
      </c>
      <c r="G130" t="s">
        <v>18</v>
      </c>
    </row>
    <row r="131" spans="1:9" x14ac:dyDescent="0.35">
      <c r="A131" t="s">
        <v>64</v>
      </c>
      <c r="C131" t="s">
        <v>53</v>
      </c>
      <c r="D131">
        <v>9.8470135268663328E-2</v>
      </c>
      <c r="F131" t="s">
        <v>181</v>
      </c>
      <c r="G131" t="s">
        <v>59</v>
      </c>
      <c r="H131" t="s">
        <v>60</v>
      </c>
      <c r="I131" t="s">
        <v>32</v>
      </c>
    </row>
    <row r="132" spans="1:9" x14ac:dyDescent="0.35">
      <c r="A132" t="s">
        <v>33</v>
      </c>
      <c r="B132" t="s">
        <v>34</v>
      </c>
      <c r="C132" t="s">
        <v>35</v>
      </c>
      <c r="D132">
        <f>D149</f>
        <v>80.908165582352993</v>
      </c>
      <c r="E132" t="s">
        <v>4</v>
      </c>
      <c r="F132" s="20" t="s">
        <v>180</v>
      </c>
      <c r="G132" t="s">
        <v>67</v>
      </c>
    </row>
    <row r="133" spans="1:9" x14ac:dyDescent="0.35">
      <c r="A133" t="s">
        <v>63</v>
      </c>
      <c r="C133" t="s">
        <v>53</v>
      </c>
      <c r="D133">
        <v>410.59899826229173</v>
      </c>
      <c r="F133" t="s">
        <v>181</v>
      </c>
      <c r="G133" t="s">
        <v>59</v>
      </c>
      <c r="H133" t="s">
        <v>60</v>
      </c>
      <c r="I133" t="s">
        <v>32</v>
      </c>
    </row>
    <row r="134" spans="1:9" x14ac:dyDescent="0.35">
      <c r="A134" s="1" t="s">
        <v>1</v>
      </c>
      <c r="B134" t="s">
        <v>22</v>
      </c>
      <c r="C134" s="2"/>
      <c r="D134" s="2"/>
      <c r="E134" s="2"/>
      <c r="F134" s="2"/>
      <c r="G134" s="2"/>
      <c r="H134" s="2"/>
      <c r="I134" s="2"/>
    </row>
    <row r="135" spans="1:9" x14ac:dyDescent="0.35">
      <c r="A135" s="3" t="s">
        <v>2</v>
      </c>
      <c r="B135" t="s">
        <v>270</v>
      </c>
    </row>
    <row r="136" spans="1:9" x14ac:dyDescent="0.35">
      <c r="A136" s="4" t="s">
        <v>3</v>
      </c>
      <c r="B136" s="5" t="s">
        <v>4</v>
      </c>
      <c r="C136" s="5"/>
      <c r="D136" s="5"/>
      <c r="E136" s="5"/>
      <c r="F136" s="5"/>
      <c r="G136" s="5"/>
      <c r="H136" s="5"/>
      <c r="I136" s="5"/>
    </row>
    <row r="137" spans="1:9" x14ac:dyDescent="0.35">
      <c r="A137" s="4" t="s">
        <v>5</v>
      </c>
      <c r="B137" s="6">
        <v>1</v>
      </c>
      <c r="C137" s="5"/>
      <c r="D137" s="5"/>
      <c r="E137" s="5"/>
      <c r="F137" s="5"/>
      <c r="G137" s="5"/>
      <c r="H137" s="5"/>
      <c r="I137" s="5"/>
    </row>
    <row r="138" spans="1:9" x14ac:dyDescent="0.35">
      <c r="A138" s="4" t="s">
        <v>6</v>
      </c>
      <c r="B138" s="5" t="s">
        <v>7</v>
      </c>
      <c r="C138" s="5"/>
      <c r="D138" s="5"/>
      <c r="E138" s="5"/>
      <c r="F138" s="5"/>
      <c r="G138" s="5"/>
      <c r="H138" s="5"/>
      <c r="I138" s="5"/>
    </row>
    <row r="140" spans="1:9" x14ac:dyDescent="0.35">
      <c r="A140" s="3" t="s">
        <v>8</v>
      </c>
    </row>
    <row r="141" spans="1:9" x14ac:dyDescent="0.35">
      <c r="A141" s="3" t="s">
        <v>9</v>
      </c>
      <c r="B141" s="3" t="s">
        <v>10</v>
      </c>
      <c r="C141" s="3" t="s">
        <v>6</v>
      </c>
      <c r="D141" s="8" t="s">
        <v>11</v>
      </c>
      <c r="E141" s="3" t="s">
        <v>3</v>
      </c>
      <c r="F141" s="3" t="s">
        <v>12</v>
      </c>
      <c r="G141" s="3" t="s">
        <v>13</v>
      </c>
      <c r="H141" s="3" t="s">
        <v>14</v>
      </c>
      <c r="I141" t="s">
        <v>2</v>
      </c>
    </row>
    <row r="142" spans="1:9" x14ac:dyDescent="0.35">
      <c r="A142" t="str">
        <f>B134</f>
        <v>Landfill_st-nicephore</v>
      </c>
      <c r="B142" t="s">
        <v>15</v>
      </c>
      <c r="C142" t="s">
        <v>7</v>
      </c>
      <c r="D142" s="12">
        <v>1</v>
      </c>
      <c r="E142" t="s">
        <v>4</v>
      </c>
      <c r="F142" t="str">
        <f>$B$1</f>
        <v>SA OWM Facilities</v>
      </c>
      <c r="G142" t="s">
        <v>16</v>
      </c>
    </row>
    <row r="143" spans="1:9" x14ac:dyDescent="0.35">
      <c r="A143" t="s">
        <v>44</v>
      </c>
      <c r="B143" t="s">
        <v>45</v>
      </c>
      <c r="C143" t="s">
        <v>43</v>
      </c>
      <c r="D143" s="13">
        <f>Transportation!B8</f>
        <v>123</v>
      </c>
      <c r="E143" t="s">
        <v>46</v>
      </c>
      <c r="F143" s="20" t="s">
        <v>180</v>
      </c>
      <c r="G143" t="s">
        <v>18</v>
      </c>
    </row>
    <row r="144" spans="1:9" x14ac:dyDescent="0.35">
      <c r="A144" t="s">
        <v>186</v>
      </c>
      <c r="B144" t="s">
        <v>187</v>
      </c>
      <c r="C144" t="s">
        <v>53</v>
      </c>
      <c r="D144">
        <v>0.68883085661884558</v>
      </c>
      <c r="E144" t="s">
        <v>49</v>
      </c>
      <c r="F144" s="20" t="s">
        <v>180</v>
      </c>
      <c r="G144" t="s">
        <v>18</v>
      </c>
      <c r="I144" t="s">
        <v>36</v>
      </c>
    </row>
    <row r="145" spans="1:9" x14ac:dyDescent="0.35">
      <c r="A145" t="s">
        <v>131</v>
      </c>
      <c r="C145" t="s">
        <v>53</v>
      </c>
      <c r="D145" s="13">
        <v>73.250026790475331</v>
      </c>
      <c r="F145" s="20" t="s">
        <v>181</v>
      </c>
      <c r="G145" t="s">
        <v>59</v>
      </c>
      <c r="H145" t="s">
        <v>175</v>
      </c>
    </row>
    <row r="146" spans="1:9" x14ac:dyDescent="0.35">
      <c r="A146" t="s">
        <v>66</v>
      </c>
      <c r="C146" t="s">
        <v>53</v>
      </c>
      <c r="D146">
        <v>44.250229990800371</v>
      </c>
      <c r="F146" s="20" t="s">
        <v>181</v>
      </c>
      <c r="G146" t="s">
        <v>59</v>
      </c>
      <c r="H146" t="s">
        <v>60</v>
      </c>
    </row>
    <row r="147" spans="1:9" x14ac:dyDescent="0.35">
      <c r="A147" t="s">
        <v>33</v>
      </c>
      <c r="B147" t="s">
        <v>34</v>
      </c>
      <c r="C147" t="s">
        <v>35</v>
      </c>
      <c r="D147">
        <v>36.273732772249062</v>
      </c>
      <c r="E147" t="s">
        <v>4</v>
      </c>
      <c r="F147" s="20" t="s">
        <v>180</v>
      </c>
      <c r="G147" t="s">
        <v>18</v>
      </c>
    </row>
    <row r="148" spans="1:9" x14ac:dyDescent="0.35">
      <c r="A148" t="s">
        <v>64</v>
      </c>
      <c r="C148" t="s">
        <v>53</v>
      </c>
      <c r="D148">
        <v>9.8470135268663328E-2</v>
      </c>
      <c r="F148" t="s">
        <v>181</v>
      </c>
      <c r="G148" t="s">
        <v>59</v>
      </c>
      <c r="H148" t="s">
        <v>60</v>
      </c>
      <c r="I148" t="s">
        <v>32</v>
      </c>
    </row>
    <row r="149" spans="1:9" x14ac:dyDescent="0.35">
      <c r="A149" t="s">
        <v>33</v>
      </c>
      <c r="B149" t="s">
        <v>34</v>
      </c>
      <c r="C149" t="s">
        <v>35</v>
      </c>
      <c r="D149">
        <f>'Comparing models'!E24</f>
        <v>80.908165582352993</v>
      </c>
      <c r="E149" t="s">
        <v>4</v>
      </c>
      <c r="F149" s="20" t="s">
        <v>180</v>
      </c>
      <c r="G149" t="s">
        <v>67</v>
      </c>
    </row>
    <row r="150" spans="1:9" x14ac:dyDescent="0.35">
      <c r="A150" t="s">
        <v>63</v>
      </c>
      <c r="C150" t="s">
        <v>53</v>
      </c>
      <c r="D150">
        <v>410.59899826229173</v>
      </c>
      <c r="F150" t="s">
        <v>181</v>
      </c>
      <c r="G150" t="s">
        <v>59</v>
      </c>
      <c r="H150" t="s">
        <v>60</v>
      </c>
      <c r="I150" t="s">
        <v>32</v>
      </c>
    </row>
    <row r="151" spans="1:9" x14ac:dyDescent="0.35">
      <c r="A151" s="1" t="s">
        <v>1</v>
      </c>
      <c r="B151" t="s">
        <v>23</v>
      </c>
      <c r="C151" s="2"/>
      <c r="D151" s="2"/>
      <c r="E151" s="2"/>
      <c r="F151" s="2"/>
      <c r="G151" s="2"/>
      <c r="H151" s="2"/>
      <c r="I151" s="2"/>
    </row>
    <row r="152" spans="1:9" x14ac:dyDescent="0.35">
      <c r="A152" s="3" t="s">
        <v>2</v>
      </c>
      <c r="B152" t="s">
        <v>270</v>
      </c>
    </row>
    <row r="153" spans="1:9" x14ac:dyDescent="0.35">
      <c r="A153" s="4" t="s">
        <v>3</v>
      </c>
      <c r="B153" s="5" t="s">
        <v>4</v>
      </c>
      <c r="C153" s="5"/>
      <c r="D153" s="5"/>
      <c r="E153" s="5"/>
      <c r="F153" s="5"/>
      <c r="G153" s="5"/>
      <c r="H153" s="5"/>
      <c r="I153" s="5"/>
    </row>
    <row r="154" spans="1:9" x14ac:dyDescent="0.35">
      <c r="A154" s="4" t="s">
        <v>5</v>
      </c>
      <c r="B154" s="6">
        <v>1</v>
      </c>
      <c r="C154" s="5"/>
      <c r="D154" s="5"/>
      <c r="E154" s="5"/>
      <c r="F154" s="5"/>
      <c r="G154" s="5"/>
      <c r="H154" s="5"/>
      <c r="I154" s="5"/>
    </row>
    <row r="155" spans="1:9" x14ac:dyDescent="0.35">
      <c r="A155" s="4" t="s">
        <v>6</v>
      </c>
      <c r="B155" s="5" t="s">
        <v>7</v>
      </c>
      <c r="C155" s="5"/>
      <c r="D155" s="5"/>
      <c r="E155" s="5"/>
      <c r="F155" s="5"/>
      <c r="G155" s="5"/>
      <c r="H155" s="5"/>
      <c r="I155" s="5"/>
    </row>
    <row r="157" spans="1:9" x14ac:dyDescent="0.35">
      <c r="A157" s="3" t="s">
        <v>8</v>
      </c>
    </row>
    <row r="158" spans="1:9" x14ac:dyDescent="0.35">
      <c r="A158" s="3" t="s">
        <v>9</v>
      </c>
      <c r="B158" s="3" t="s">
        <v>10</v>
      </c>
      <c r="C158" s="3" t="s">
        <v>6</v>
      </c>
      <c r="D158" s="8" t="s">
        <v>11</v>
      </c>
      <c r="E158" s="3" t="s">
        <v>3</v>
      </c>
      <c r="F158" s="3" t="s">
        <v>12</v>
      </c>
      <c r="G158" s="3" t="s">
        <v>13</v>
      </c>
      <c r="H158" s="3" t="s">
        <v>14</v>
      </c>
      <c r="I158" t="s">
        <v>2</v>
      </c>
    </row>
    <row r="159" spans="1:9" x14ac:dyDescent="0.35">
      <c r="A159" t="str">
        <f>B151</f>
        <v>Landfill_cecile_de_milton</v>
      </c>
      <c r="B159" t="s">
        <v>15</v>
      </c>
      <c r="C159" t="s">
        <v>7</v>
      </c>
      <c r="D159" s="12">
        <v>1</v>
      </c>
      <c r="E159" t="s">
        <v>4</v>
      </c>
      <c r="F159" t="str">
        <f>$B$1</f>
        <v>SA OWM Facilities</v>
      </c>
      <c r="G159" t="s">
        <v>16</v>
      </c>
    </row>
    <row r="160" spans="1:9" x14ac:dyDescent="0.35">
      <c r="A160" t="s">
        <v>44</v>
      </c>
      <c r="B160" t="s">
        <v>45</v>
      </c>
      <c r="C160" t="s">
        <v>43</v>
      </c>
      <c r="D160" s="13">
        <f>Transportation!B9</f>
        <v>96</v>
      </c>
      <c r="E160" t="s">
        <v>46</v>
      </c>
      <c r="F160" s="20" t="s">
        <v>180</v>
      </c>
      <c r="G160" t="s">
        <v>18</v>
      </c>
    </row>
    <row r="161" spans="1:9" x14ac:dyDescent="0.35">
      <c r="A161" t="s">
        <v>186</v>
      </c>
      <c r="B161" t="s">
        <v>187</v>
      </c>
      <c r="C161" t="s">
        <v>53</v>
      </c>
      <c r="D161">
        <v>0.68883085661884558</v>
      </c>
      <c r="E161" t="s">
        <v>49</v>
      </c>
      <c r="F161" s="20" t="s">
        <v>180</v>
      </c>
      <c r="G161" t="s">
        <v>18</v>
      </c>
      <c r="I161" t="s">
        <v>36</v>
      </c>
    </row>
    <row r="162" spans="1:9" x14ac:dyDescent="0.35">
      <c r="A162" t="s">
        <v>131</v>
      </c>
      <c r="C162" t="s">
        <v>53</v>
      </c>
      <c r="D162" s="13">
        <v>73.250026790475331</v>
      </c>
      <c r="F162" s="20" t="s">
        <v>181</v>
      </c>
      <c r="G162" t="s">
        <v>59</v>
      </c>
      <c r="H162" t="s">
        <v>175</v>
      </c>
    </row>
    <row r="163" spans="1:9" x14ac:dyDescent="0.35">
      <c r="A163" t="s">
        <v>66</v>
      </c>
      <c r="C163" t="s">
        <v>53</v>
      </c>
      <c r="D163">
        <v>44.250229990800371</v>
      </c>
      <c r="F163" s="20" t="s">
        <v>181</v>
      </c>
      <c r="G163" t="s">
        <v>59</v>
      </c>
      <c r="H163" t="s">
        <v>60</v>
      </c>
    </row>
    <row r="164" spans="1:9" x14ac:dyDescent="0.35">
      <c r="A164" t="s">
        <v>33</v>
      </c>
      <c r="B164" t="s">
        <v>34</v>
      </c>
      <c r="C164" t="s">
        <v>35</v>
      </c>
      <c r="D164">
        <v>36.273732772249062</v>
      </c>
      <c r="E164" t="s">
        <v>4</v>
      </c>
      <c r="F164" s="20" t="s">
        <v>180</v>
      </c>
      <c r="G164" t="str">
        <f>G147</f>
        <v>technosphere</v>
      </c>
    </row>
    <row r="165" spans="1:9" x14ac:dyDescent="0.35">
      <c r="A165" t="s">
        <v>64</v>
      </c>
      <c r="C165" t="s">
        <v>53</v>
      </c>
      <c r="D165">
        <v>9.8470135268663328E-2</v>
      </c>
      <c r="F165" t="s">
        <v>181</v>
      </c>
      <c r="G165" t="s">
        <v>59</v>
      </c>
      <c r="H165" t="s">
        <v>60</v>
      </c>
      <c r="I165" t="s">
        <v>32</v>
      </c>
    </row>
    <row r="166" spans="1:9" x14ac:dyDescent="0.35">
      <c r="A166" t="s">
        <v>33</v>
      </c>
      <c r="B166" t="s">
        <v>34</v>
      </c>
      <c r="C166" t="s">
        <v>35</v>
      </c>
      <c r="D166">
        <f>D149</f>
        <v>80.908165582352993</v>
      </c>
      <c r="E166" t="s">
        <v>4</v>
      </c>
      <c r="F166" s="20" t="s">
        <v>180</v>
      </c>
      <c r="G166" t="s">
        <v>67</v>
      </c>
    </row>
    <row r="167" spans="1:9" x14ac:dyDescent="0.35">
      <c r="A167" t="s">
        <v>63</v>
      </c>
      <c r="C167" t="s">
        <v>53</v>
      </c>
      <c r="D167">
        <v>410.59899826229173</v>
      </c>
      <c r="F167" t="s">
        <v>181</v>
      </c>
      <c r="G167" t="s">
        <v>59</v>
      </c>
      <c r="H167" t="s">
        <v>60</v>
      </c>
      <c r="I167" t="s">
        <v>32</v>
      </c>
    </row>
    <row r="168" spans="1:9" x14ac:dyDescent="0.35">
      <c r="A168" s="1" t="s">
        <v>1</v>
      </c>
      <c r="B168" t="s">
        <v>24</v>
      </c>
      <c r="C168" s="2"/>
      <c r="D168" s="2"/>
      <c r="E168" s="2"/>
      <c r="F168" s="2"/>
      <c r="G168" s="2"/>
      <c r="H168" s="2"/>
      <c r="I168" s="2"/>
    </row>
    <row r="169" spans="1:9" x14ac:dyDescent="0.35">
      <c r="A169" s="3" t="s">
        <v>2</v>
      </c>
      <c r="B169" t="s">
        <v>146</v>
      </c>
    </row>
    <row r="170" spans="1:9" x14ac:dyDescent="0.35">
      <c r="A170" s="4" t="s">
        <v>3</v>
      </c>
      <c r="B170" s="5" t="s">
        <v>4</v>
      </c>
      <c r="C170" s="5"/>
      <c r="D170" s="5"/>
      <c r="E170" s="5"/>
      <c r="F170" s="5"/>
      <c r="G170" s="5"/>
      <c r="H170" s="5"/>
      <c r="I170" s="5"/>
    </row>
    <row r="171" spans="1:9" x14ac:dyDescent="0.35">
      <c r="A171" s="4" t="s">
        <v>5</v>
      </c>
      <c r="B171" s="6">
        <v>1</v>
      </c>
      <c r="C171" s="5"/>
      <c r="D171" s="5"/>
      <c r="E171" s="5"/>
      <c r="F171" s="5"/>
      <c r="G171" s="5"/>
      <c r="H171" s="5"/>
      <c r="I171" s="5"/>
    </row>
    <row r="172" spans="1:9" x14ac:dyDescent="0.35">
      <c r="A172" s="4" t="s">
        <v>6</v>
      </c>
      <c r="B172" s="7" t="s">
        <v>7</v>
      </c>
      <c r="C172" s="5"/>
      <c r="D172" s="5"/>
      <c r="E172" s="5"/>
      <c r="F172" s="5"/>
      <c r="G172" s="5"/>
      <c r="H172" s="5"/>
      <c r="I172" s="5"/>
    </row>
    <row r="174" spans="1:9" x14ac:dyDescent="0.35">
      <c r="A174" s="3" t="s">
        <v>8</v>
      </c>
    </row>
    <row r="175" spans="1:9" x14ac:dyDescent="0.35">
      <c r="A175" s="3" t="s">
        <v>9</v>
      </c>
      <c r="B175" s="3" t="s">
        <v>10</v>
      </c>
      <c r="C175" s="3" t="s">
        <v>6</v>
      </c>
      <c r="D175" s="8" t="s">
        <v>11</v>
      </c>
      <c r="E175" s="3" t="s">
        <v>3</v>
      </c>
      <c r="F175" s="3" t="s">
        <v>12</v>
      </c>
      <c r="G175" s="3" t="s">
        <v>13</v>
      </c>
      <c r="H175" s="3" t="s">
        <v>14</v>
      </c>
      <c r="I175" t="s">
        <v>2</v>
      </c>
    </row>
    <row r="176" spans="1:9" x14ac:dyDescent="0.35">
      <c r="A176" t="str">
        <f>B168</f>
        <v>Composter_casselman</v>
      </c>
      <c r="B176" t="s">
        <v>15</v>
      </c>
      <c r="C176" t="s">
        <v>7</v>
      </c>
      <c r="D176" s="9">
        <v>1</v>
      </c>
      <c r="E176" t="s">
        <v>4</v>
      </c>
      <c r="F176" t="str">
        <f>$B$1</f>
        <v>SA OWM Facilities</v>
      </c>
      <c r="G176" t="s">
        <v>16</v>
      </c>
      <c r="H176" s="3"/>
      <c r="I176" t="s">
        <v>32</v>
      </c>
    </row>
    <row r="177" spans="1:9" x14ac:dyDescent="0.35">
      <c r="A177" s="9" t="s">
        <v>33</v>
      </c>
      <c r="B177" t="s">
        <v>34</v>
      </c>
      <c r="C177" t="s">
        <v>35</v>
      </c>
      <c r="D177">
        <v>1.6772116902968379</v>
      </c>
      <c r="E177" t="s">
        <v>4</v>
      </c>
      <c r="F177" s="20" t="s">
        <v>180</v>
      </c>
      <c r="G177" t="s">
        <v>18</v>
      </c>
      <c r="I177" t="s">
        <v>36</v>
      </c>
    </row>
    <row r="178" spans="1:9" x14ac:dyDescent="0.35">
      <c r="A178" t="s">
        <v>186</v>
      </c>
      <c r="B178" t="s">
        <v>187</v>
      </c>
      <c r="C178" t="s">
        <v>53</v>
      </c>
      <c r="D178" s="13">
        <v>2.5320055641349066</v>
      </c>
      <c r="E178" t="s">
        <v>49</v>
      </c>
      <c r="F178" s="20" t="s">
        <v>180</v>
      </c>
      <c r="G178" t="s">
        <v>18</v>
      </c>
      <c r="I178" t="s">
        <v>36</v>
      </c>
    </row>
    <row r="179" spans="1:9" x14ac:dyDescent="0.35">
      <c r="A179" t="s">
        <v>44</v>
      </c>
      <c r="B179" t="s">
        <v>45</v>
      </c>
      <c r="C179" t="s">
        <v>43</v>
      </c>
      <c r="D179" s="10">
        <f>Transportation!B10</f>
        <v>133</v>
      </c>
      <c r="E179" t="s">
        <v>46</v>
      </c>
      <c r="F179" s="20" t="s">
        <v>180</v>
      </c>
      <c r="G179" t="s">
        <v>18</v>
      </c>
      <c r="I179" t="s">
        <v>36</v>
      </c>
    </row>
    <row r="180" spans="1:9" x14ac:dyDescent="0.35">
      <c r="A180" t="s">
        <v>182</v>
      </c>
      <c r="B180" t="s">
        <v>55</v>
      </c>
      <c r="C180" t="s">
        <v>56</v>
      </c>
      <c r="D180">
        <v>-7.28915519494213</v>
      </c>
      <c r="E180" t="s">
        <v>4</v>
      </c>
      <c r="F180" s="20" t="s">
        <v>180</v>
      </c>
      <c r="G180" t="s">
        <v>18</v>
      </c>
      <c r="I180" t="s">
        <v>32</v>
      </c>
    </row>
    <row r="181" spans="1:9" x14ac:dyDescent="0.35">
      <c r="A181" t="s">
        <v>62</v>
      </c>
      <c r="C181" t="s">
        <v>53</v>
      </c>
      <c r="D181">
        <v>5.6135340059469772E-4</v>
      </c>
      <c r="F181" s="20" t="s">
        <v>181</v>
      </c>
      <c r="G181" t="s">
        <v>59</v>
      </c>
      <c r="H181" t="s">
        <v>60</v>
      </c>
      <c r="I181" t="s">
        <v>32</v>
      </c>
    </row>
    <row r="182" spans="1:9" x14ac:dyDescent="0.35">
      <c r="A182" t="s">
        <v>64</v>
      </c>
      <c r="C182" t="s">
        <v>53</v>
      </c>
      <c r="D182">
        <v>0.2245413602378791</v>
      </c>
      <c r="F182" s="20" t="s">
        <v>181</v>
      </c>
      <c r="G182" t="s">
        <v>59</v>
      </c>
      <c r="H182" t="s">
        <v>60</v>
      </c>
      <c r="I182" t="s">
        <v>32</v>
      </c>
    </row>
    <row r="183" spans="1:9" x14ac:dyDescent="0.35">
      <c r="A183" t="s">
        <v>66</v>
      </c>
      <c r="C183" t="s">
        <v>53</v>
      </c>
      <c r="D183">
        <v>1.6279248617246236</v>
      </c>
      <c r="F183" s="20" t="s">
        <v>181</v>
      </c>
      <c r="G183" t="s">
        <v>59</v>
      </c>
      <c r="H183" t="s">
        <v>60</v>
      </c>
      <c r="I183" t="s">
        <v>32</v>
      </c>
    </row>
    <row r="184" spans="1:9" x14ac:dyDescent="0.35">
      <c r="A184" t="s">
        <v>184</v>
      </c>
      <c r="C184" t="s">
        <v>53</v>
      </c>
      <c r="D184" s="11">
        <v>1.0852832411497491E-3</v>
      </c>
      <c r="F184" s="20" t="s">
        <v>181</v>
      </c>
      <c r="G184" t="s">
        <v>59</v>
      </c>
      <c r="H184" t="s">
        <v>60</v>
      </c>
      <c r="I184" t="s">
        <v>32</v>
      </c>
    </row>
    <row r="185" spans="1:9" x14ac:dyDescent="0.35">
      <c r="A185" t="s">
        <v>172</v>
      </c>
      <c r="B185" t="s">
        <v>141</v>
      </c>
      <c r="C185" t="s">
        <v>53</v>
      </c>
      <c r="D185">
        <v>0.29528799999999999</v>
      </c>
      <c r="E185" t="s">
        <v>144</v>
      </c>
      <c r="F185" s="20" t="s">
        <v>180</v>
      </c>
      <c r="G185" t="s">
        <v>67</v>
      </c>
    </row>
    <row r="186" spans="1:9" x14ac:dyDescent="0.35">
      <c r="A186" t="s">
        <v>173</v>
      </c>
      <c r="B186" t="s">
        <v>142</v>
      </c>
      <c r="C186" t="s">
        <v>53</v>
      </c>
      <c r="D186">
        <v>0.168736</v>
      </c>
      <c r="E186" t="s">
        <v>144</v>
      </c>
      <c r="F186" s="20" t="s">
        <v>180</v>
      </c>
      <c r="G186" t="s">
        <v>67</v>
      </c>
    </row>
    <row r="187" spans="1:9" x14ac:dyDescent="0.35">
      <c r="A187" t="s">
        <v>185</v>
      </c>
      <c r="B187" t="s">
        <v>143</v>
      </c>
      <c r="C187" t="s">
        <v>53</v>
      </c>
      <c r="D187">
        <v>0.253104</v>
      </c>
      <c r="E187" t="s">
        <v>144</v>
      </c>
      <c r="F187" s="20" t="s">
        <v>180</v>
      </c>
      <c r="G187" t="s">
        <v>67</v>
      </c>
    </row>
    <row r="188" spans="1:9" x14ac:dyDescent="0.35">
      <c r="D188" s="10"/>
    </row>
    <row r="189" spans="1:9" x14ac:dyDescent="0.35">
      <c r="D189" s="10"/>
    </row>
    <row r="190" spans="1:9" x14ac:dyDescent="0.35">
      <c r="D190" s="11"/>
    </row>
    <row r="191" spans="1:9" x14ac:dyDescent="0.35">
      <c r="B191" s="11"/>
      <c r="D191" s="12"/>
      <c r="F191" s="20"/>
    </row>
    <row r="192" spans="1:9" x14ac:dyDescent="0.35">
      <c r="F192" s="20"/>
    </row>
    <row r="193" spans="1:9" x14ac:dyDescent="0.35">
      <c r="F193" s="20"/>
    </row>
    <row r="195" spans="1:9" x14ac:dyDescent="0.35">
      <c r="A195" s="1" t="s">
        <v>1</v>
      </c>
      <c r="B195" t="s">
        <v>25</v>
      </c>
      <c r="C195" s="2"/>
      <c r="D195" s="2"/>
      <c r="E195" s="2"/>
      <c r="F195" s="2"/>
      <c r="G195" s="2"/>
      <c r="H195" s="2"/>
      <c r="I195" s="2"/>
    </row>
    <row r="196" spans="1:9" x14ac:dyDescent="0.35">
      <c r="A196" s="3" t="s">
        <v>2</v>
      </c>
      <c r="B196" t="s">
        <v>146</v>
      </c>
    </row>
    <row r="197" spans="1:9" x14ac:dyDescent="0.35">
      <c r="A197" s="4" t="s">
        <v>3</v>
      </c>
      <c r="B197" s="5" t="s">
        <v>4</v>
      </c>
      <c r="C197" s="5"/>
      <c r="D197" s="5"/>
      <c r="E197" s="5"/>
      <c r="F197" s="5"/>
      <c r="G197" s="5"/>
      <c r="H197" s="5"/>
      <c r="I197" s="5"/>
    </row>
    <row r="198" spans="1:9" x14ac:dyDescent="0.35">
      <c r="A198" s="4" t="s">
        <v>5</v>
      </c>
      <c r="B198" s="6">
        <v>1</v>
      </c>
      <c r="C198" s="5"/>
      <c r="D198" s="5"/>
      <c r="E198" s="5"/>
      <c r="F198" s="5"/>
      <c r="G198" s="5"/>
      <c r="H198" s="5"/>
      <c r="I198" s="5"/>
    </row>
    <row r="199" spans="1:9" x14ac:dyDescent="0.35">
      <c r="A199" s="4" t="s">
        <v>6</v>
      </c>
      <c r="B199" s="7" t="s">
        <v>7</v>
      </c>
      <c r="C199" s="5"/>
      <c r="D199" s="5"/>
      <c r="E199" s="5"/>
      <c r="F199" s="5"/>
      <c r="G199" s="5"/>
      <c r="H199" s="5"/>
      <c r="I199" s="5"/>
    </row>
    <row r="201" spans="1:9" x14ac:dyDescent="0.35">
      <c r="A201" s="3" t="s">
        <v>8</v>
      </c>
    </row>
    <row r="202" spans="1:9" x14ac:dyDescent="0.35">
      <c r="A202" s="3" t="s">
        <v>9</v>
      </c>
      <c r="B202" s="3" t="s">
        <v>10</v>
      </c>
      <c r="C202" s="3" t="s">
        <v>6</v>
      </c>
      <c r="D202" s="8" t="s">
        <v>11</v>
      </c>
      <c r="E202" s="3" t="s">
        <v>3</v>
      </c>
      <c r="F202" s="3" t="s">
        <v>12</v>
      </c>
      <c r="G202" s="3" t="s">
        <v>13</v>
      </c>
      <c r="H202" s="3" t="s">
        <v>14</v>
      </c>
      <c r="I202" t="s">
        <v>2</v>
      </c>
    </row>
    <row r="203" spans="1:9" x14ac:dyDescent="0.35">
      <c r="A203" t="str">
        <f>B195</f>
        <v>Composter_complexe enviro st Michel</v>
      </c>
      <c r="B203" t="s">
        <v>15</v>
      </c>
      <c r="C203" t="s">
        <v>7</v>
      </c>
      <c r="D203" s="9">
        <v>1</v>
      </c>
      <c r="E203" t="s">
        <v>4</v>
      </c>
      <c r="F203" t="str">
        <f>$B$1</f>
        <v>SA OWM Facilities</v>
      </c>
      <c r="G203" t="s">
        <v>16</v>
      </c>
      <c r="H203" s="3"/>
      <c r="I203" t="s">
        <v>32</v>
      </c>
    </row>
    <row r="204" spans="1:9" x14ac:dyDescent="0.35">
      <c r="A204" s="9" t="s">
        <v>33</v>
      </c>
      <c r="B204" t="s">
        <v>34</v>
      </c>
      <c r="C204" t="s">
        <v>35</v>
      </c>
      <c r="D204">
        <v>1.6772116902968379</v>
      </c>
      <c r="E204" t="s">
        <v>4</v>
      </c>
      <c r="F204" s="20" t="s">
        <v>180</v>
      </c>
      <c r="G204" t="s">
        <v>18</v>
      </c>
      <c r="I204" t="s">
        <v>36</v>
      </c>
    </row>
    <row r="205" spans="1:9" x14ac:dyDescent="0.35">
      <c r="A205" t="s">
        <v>186</v>
      </c>
      <c r="B205" t="s">
        <v>187</v>
      </c>
      <c r="C205" t="s">
        <v>53</v>
      </c>
      <c r="D205" s="13">
        <v>2.5320055641349066</v>
      </c>
      <c r="E205" t="s">
        <v>49</v>
      </c>
      <c r="F205" s="20" t="s">
        <v>180</v>
      </c>
      <c r="G205" t="s">
        <v>18</v>
      </c>
      <c r="I205" t="s">
        <v>36</v>
      </c>
    </row>
    <row r="206" spans="1:9" x14ac:dyDescent="0.35">
      <c r="A206" t="s">
        <v>44</v>
      </c>
      <c r="B206" t="s">
        <v>45</v>
      </c>
      <c r="C206" t="s">
        <v>43</v>
      </c>
      <c r="D206" s="10">
        <f>Transportation!B11</f>
        <v>6</v>
      </c>
      <c r="E206" t="s">
        <v>46</v>
      </c>
      <c r="F206" s="20" t="s">
        <v>180</v>
      </c>
      <c r="G206" t="s">
        <v>18</v>
      </c>
      <c r="I206" t="s">
        <v>36</v>
      </c>
    </row>
    <row r="207" spans="1:9" x14ac:dyDescent="0.35">
      <c r="A207" t="s">
        <v>182</v>
      </c>
      <c r="B207" t="s">
        <v>55</v>
      </c>
      <c r="C207" t="s">
        <v>56</v>
      </c>
      <c r="D207">
        <v>-7.28915519494213</v>
      </c>
      <c r="E207" t="s">
        <v>4</v>
      </c>
      <c r="F207" s="20" t="s">
        <v>180</v>
      </c>
      <c r="G207" t="s">
        <v>18</v>
      </c>
      <c r="I207" t="s">
        <v>32</v>
      </c>
    </row>
    <row r="208" spans="1:9" x14ac:dyDescent="0.35">
      <c r="A208" t="s">
        <v>62</v>
      </c>
      <c r="C208" t="s">
        <v>53</v>
      </c>
      <c r="D208">
        <v>5.6135340059469772E-4</v>
      </c>
      <c r="F208" s="20" t="s">
        <v>181</v>
      </c>
      <c r="G208" t="s">
        <v>59</v>
      </c>
      <c r="H208" t="s">
        <v>60</v>
      </c>
      <c r="I208" t="s">
        <v>32</v>
      </c>
    </row>
    <row r="209" spans="1:9" x14ac:dyDescent="0.35">
      <c r="A209" t="s">
        <v>64</v>
      </c>
      <c r="C209" t="s">
        <v>53</v>
      </c>
      <c r="D209">
        <v>0.2245413602378791</v>
      </c>
      <c r="F209" s="20" t="s">
        <v>181</v>
      </c>
      <c r="G209" t="s">
        <v>59</v>
      </c>
      <c r="H209" t="s">
        <v>60</v>
      </c>
      <c r="I209" t="s">
        <v>32</v>
      </c>
    </row>
    <row r="210" spans="1:9" x14ac:dyDescent="0.35">
      <c r="A210" t="s">
        <v>66</v>
      </c>
      <c r="C210" t="s">
        <v>53</v>
      </c>
      <c r="D210" s="10">
        <v>1.6279248617246236</v>
      </c>
      <c r="F210" s="20" t="s">
        <v>181</v>
      </c>
      <c r="G210" t="s">
        <v>59</v>
      </c>
      <c r="H210" t="s">
        <v>60</v>
      </c>
      <c r="I210" t="s">
        <v>32</v>
      </c>
    </row>
    <row r="211" spans="1:9" x14ac:dyDescent="0.35">
      <c r="A211" t="s">
        <v>184</v>
      </c>
      <c r="C211" t="s">
        <v>53</v>
      </c>
      <c r="D211" s="11">
        <v>1.0852832411497491E-3</v>
      </c>
      <c r="F211" s="20" t="s">
        <v>181</v>
      </c>
      <c r="G211" t="s">
        <v>59</v>
      </c>
      <c r="H211" t="s">
        <v>60</v>
      </c>
      <c r="I211" t="s">
        <v>32</v>
      </c>
    </row>
    <row r="212" spans="1:9" x14ac:dyDescent="0.35">
      <c r="A212" t="s">
        <v>172</v>
      </c>
      <c r="B212" t="s">
        <v>141</v>
      </c>
      <c r="C212" t="s">
        <v>53</v>
      </c>
      <c r="D212">
        <v>0.29528799999999999</v>
      </c>
      <c r="E212" t="s">
        <v>144</v>
      </c>
      <c r="F212" s="20" t="s">
        <v>180</v>
      </c>
      <c r="G212" t="s">
        <v>67</v>
      </c>
    </row>
    <row r="213" spans="1:9" x14ac:dyDescent="0.35">
      <c r="A213" t="s">
        <v>173</v>
      </c>
      <c r="B213" t="s">
        <v>142</v>
      </c>
      <c r="C213" t="s">
        <v>53</v>
      </c>
      <c r="D213">
        <v>0.168736</v>
      </c>
      <c r="E213" t="s">
        <v>144</v>
      </c>
      <c r="F213" s="20" t="s">
        <v>180</v>
      </c>
      <c r="G213" t="s">
        <v>67</v>
      </c>
    </row>
    <row r="214" spans="1:9" x14ac:dyDescent="0.35">
      <c r="A214" t="s">
        <v>185</v>
      </c>
      <c r="B214" t="s">
        <v>143</v>
      </c>
      <c r="C214" t="s">
        <v>53</v>
      </c>
      <c r="D214">
        <v>0.253104</v>
      </c>
      <c r="E214" t="s">
        <v>144</v>
      </c>
      <c r="F214" s="20" t="s">
        <v>180</v>
      </c>
      <c r="G214" t="s">
        <v>67</v>
      </c>
    </row>
    <row r="215" spans="1:9" x14ac:dyDescent="0.35">
      <c r="D215" s="10"/>
    </row>
    <row r="216" spans="1:9" x14ac:dyDescent="0.35">
      <c r="D216" s="10"/>
    </row>
    <row r="217" spans="1:9" x14ac:dyDescent="0.35">
      <c r="D217" s="11"/>
    </row>
    <row r="218" spans="1:9" x14ac:dyDescent="0.35">
      <c r="B218" s="11"/>
      <c r="D218" s="12"/>
      <c r="F218" s="20"/>
    </row>
    <row r="219" spans="1:9" x14ac:dyDescent="0.35">
      <c r="F219" s="20"/>
    </row>
    <row r="220" spans="1:9" x14ac:dyDescent="0.35">
      <c r="F220" s="20"/>
    </row>
    <row r="222" spans="1:9" x14ac:dyDescent="0.35">
      <c r="A222" s="1" t="s">
        <v>1</v>
      </c>
      <c r="B222" t="s">
        <v>26</v>
      </c>
      <c r="C222" s="2"/>
      <c r="D222" s="2"/>
      <c r="E222" s="2"/>
      <c r="F222" s="2"/>
      <c r="G222" s="2"/>
      <c r="H222" s="2"/>
      <c r="I222" s="2"/>
    </row>
    <row r="223" spans="1:9" x14ac:dyDescent="0.35">
      <c r="A223" s="3" t="s">
        <v>2</v>
      </c>
      <c r="B223" t="s">
        <v>146</v>
      </c>
    </row>
    <row r="224" spans="1:9" x14ac:dyDescent="0.35">
      <c r="A224" s="4" t="s">
        <v>3</v>
      </c>
      <c r="B224" s="5" t="s">
        <v>4</v>
      </c>
      <c r="C224" s="5"/>
      <c r="D224" s="5"/>
      <c r="E224" s="5"/>
      <c r="F224" s="5"/>
      <c r="G224" s="5"/>
      <c r="H224" s="5"/>
      <c r="I224" s="5"/>
    </row>
    <row r="225" spans="1:9" x14ac:dyDescent="0.35">
      <c r="A225" s="4" t="s">
        <v>5</v>
      </c>
      <c r="B225" s="6">
        <v>1</v>
      </c>
      <c r="C225" s="5"/>
      <c r="D225" s="5"/>
      <c r="E225" s="5"/>
      <c r="F225" s="5"/>
      <c r="G225" s="5"/>
      <c r="H225" s="5"/>
      <c r="I225" s="5"/>
    </row>
    <row r="226" spans="1:9" x14ac:dyDescent="0.35">
      <c r="A226" s="4" t="s">
        <v>6</v>
      </c>
      <c r="B226" s="7" t="s">
        <v>7</v>
      </c>
      <c r="C226" s="5"/>
      <c r="D226" s="5"/>
      <c r="E226" s="5"/>
      <c r="F226" s="5"/>
      <c r="G226" s="5"/>
      <c r="H226" s="5"/>
      <c r="I226" s="5"/>
    </row>
    <row r="228" spans="1:9" x14ac:dyDescent="0.35">
      <c r="A228" s="3" t="s">
        <v>8</v>
      </c>
    </row>
    <row r="229" spans="1:9" x14ac:dyDescent="0.35">
      <c r="A229" s="3" t="s">
        <v>9</v>
      </c>
      <c r="B229" s="3" t="s">
        <v>10</v>
      </c>
      <c r="C229" s="3" t="s">
        <v>6</v>
      </c>
      <c r="D229" s="8" t="s">
        <v>11</v>
      </c>
      <c r="E229" s="3" t="s">
        <v>3</v>
      </c>
      <c r="F229" s="3" t="s">
        <v>12</v>
      </c>
      <c r="G229" s="3" t="s">
        <v>13</v>
      </c>
      <c r="H229" s="3" t="s">
        <v>14</v>
      </c>
      <c r="I229" t="s">
        <v>2</v>
      </c>
    </row>
    <row r="230" spans="1:9" x14ac:dyDescent="0.35">
      <c r="A230" t="s">
        <v>26</v>
      </c>
      <c r="B230" t="s">
        <v>15</v>
      </c>
      <c r="C230" t="s">
        <v>7</v>
      </c>
      <c r="D230" s="9">
        <v>1</v>
      </c>
      <c r="E230" t="s">
        <v>4</v>
      </c>
      <c r="F230" t="str">
        <f>$B$1</f>
        <v>SA OWM Facilities</v>
      </c>
      <c r="G230" t="s">
        <v>16</v>
      </c>
      <c r="H230" s="3"/>
      <c r="I230" t="s">
        <v>32</v>
      </c>
    </row>
    <row r="231" spans="1:9" x14ac:dyDescent="0.35">
      <c r="A231" s="9" t="s">
        <v>33</v>
      </c>
      <c r="B231" t="s">
        <v>34</v>
      </c>
      <c r="C231" t="s">
        <v>35</v>
      </c>
      <c r="D231">
        <v>1.6772116902968379</v>
      </c>
      <c r="E231" t="s">
        <v>4</v>
      </c>
      <c r="F231" s="20" t="s">
        <v>180</v>
      </c>
      <c r="G231" t="s">
        <v>18</v>
      </c>
      <c r="I231" t="s">
        <v>36</v>
      </c>
    </row>
    <row r="232" spans="1:9" x14ac:dyDescent="0.35">
      <c r="A232" t="s">
        <v>186</v>
      </c>
      <c r="B232" t="s">
        <v>187</v>
      </c>
      <c r="C232" t="s">
        <v>53</v>
      </c>
      <c r="D232" s="13">
        <v>2.5320055641349066</v>
      </c>
      <c r="E232" t="s">
        <v>49</v>
      </c>
      <c r="F232" s="20" t="s">
        <v>180</v>
      </c>
      <c r="G232" t="s">
        <v>18</v>
      </c>
      <c r="I232" t="s">
        <v>36</v>
      </c>
    </row>
    <row r="233" spans="1:9" x14ac:dyDescent="0.35">
      <c r="A233" t="s">
        <v>44</v>
      </c>
      <c r="B233" t="s">
        <v>45</v>
      </c>
      <c r="C233" t="s">
        <v>43</v>
      </c>
      <c r="D233" s="10">
        <f>Transportation!B5</f>
        <v>32</v>
      </c>
      <c r="E233" t="s">
        <v>46</v>
      </c>
      <c r="F233" s="20" t="s">
        <v>180</v>
      </c>
      <c r="G233" t="s">
        <v>18</v>
      </c>
      <c r="I233" t="s">
        <v>36</v>
      </c>
    </row>
    <row r="234" spans="1:9" x14ac:dyDescent="0.35">
      <c r="A234" t="s">
        <v>182</v>
      </c>
      <c r="B234" t="s">
        <v>55</v>
      </c>
      <c r="C234" t="s">
        <v>56</v>
      </c>
      <c r="D234">
        <v>-7.28915519494213</v>
      </c>
      <c r="E234" t="s">
        <v>4</v>
      </c>
      <c r="F234" s="20" t="s">
        <v>180</v>
      </c>
      <c r="G234" t="s">
        <v>18</v>
      </c>
      <c r="I234" t="s">
        <v>32</v>
      </c>
    </row>
    <row r="235" spans="1:9" x14ac:dyDescent="0.35">
      <c r="A235" t="s">
        <v>62</v>
      </c>
      <c r="C235" t="s">
        <v>53</v>
      </c>
      <c r="D235">
        <v>5.6135340059469772E-4</v>
      </c>
      <c r="F235" s="20" t="s">
        <v>181</v>
      </c>
      <c r="G235" t="s">
        <v>59</v>
      </c>
      <c r="H235" t="s">
        <v>60</v>
      </c>
      <c r="I235" t="s">
        <v>32</v>
      </c>
    </row>
    <row r="236" spans="1:9" x14ac:dyDescent="0.35">
      <c r="A236" t="s">
        <v>64</v>
      </c>
      <c r="C236" t="s">
        <v>53</v>
      </c>
      <c r="D236">
        <v>0.2245413602378791</v>
      </c>
      <c r="F236" s="20" t="s">
        <v>181</v>
      </c>
      <c r="G236" t="s">
        <v>59</v>
      </c>
      <c r="H236" t="s">
        <v>60</v>
      </c>
      <c r="I236" t="s">
        <v>32</v>
      </c>
    </row>
    <row r="237" spans="1:9" x14ac:dyDescent="0.35">
      <c r="A237" t="s">
        <v>66</v>
      </c>
      <c r="C237" t="s">
        <v>53</v>
      </c>
      <c r="D237" s="10">
        <v>1.6279248617246236</v>
      </c>
      <c r="F237" s="20" t="s">
        <v>181</v>
      </c>
      <c r="G237" t="s">
        <v>59</v>
      </c>
      <c r="H237" t="s">
        <v>60</v>
      </c>
      <c r="I237" t="s">
        <v>32</v>
      </c>
    </row>
    <row r="238" spans="1:9" x14ac:dyDescent="0.35">
      <c r="A238" t="s">
        <v>184</v>
      </c>
      <c r="C238" t="s">
        <v>53</v>
      </c>
      <c r="D238" s="11">
        <v>1.0852832411497491E-3</v>
      </c>
      <c r="F238" s="20" t="s">
        <v>181</v>
      </c>
      <c r="G238" t="s">
        <v>59</v>
      </c>
      <c r="H238" t="s">
        <v>60</v>
      </c>
      <c r="I238" t="s">
        <v>32</v>
      </c>
    </row>
    <row r="239" spans="1:9" x14ac:dyDescent="0.35">
      <c r="A239" t="s">
        <v>172</v>
      </c>
      <c r="B239" t="s">
        <v>141</v>
      </c>
      <c r="C239" t="s">
        <v>53</v>
      </c>
      <c r="D239">
        <v>0.29528799999999999</v>
      </c>
      <c r="E239" t="s">
        <v>144</v>
      </c>
      <c r="F239" s="20" t="s">
        <v>180</v>
      </c>
      <c r="G239" t="s">
        <v>67</v>
      </c>
    </row>
    <row r="240" spans="1:9" x14ac:dyDescent="0.35">
      <c r="A240" t="s">
        <v>173</v>
      </c>
      <c r="B240" t="s">
        <v>142</v>
      </c>
      <c r="C240" t="s">
        <v>53</v>
      </c>
      <c r="D240">
        <v>0.168736</v>
      </c>
      <c r="E240" t="s">
        <v>144</v>
      </c>
      <c r="F240" s="20" t="s">
        <v>180</v>
      </c>
      <c r="G240" t="s">
        <v>67</v>
      </c>
    </row>
    <row r="241" spans="1:9" x14ac:dyDescent="0.35">
      <c r="A241" t="s">
        <v>185</v>
      </c>
      <c r="B241" t="s">
        <v>143</v>
      </c>
      <c r="C241" t="s">
        <v>53</v>
      </c>
      <c r="D241">
        <v>0.253104</v>
      </c>
      <c r="E241" t="s">
        <v>144</v>
      </c>
      <c r="F241" s="20" t="s">
        <v>180</v>
      </c>
      <c r="G241" t="s">
        <v>67</v>
      </c>
    </row>
    <row r="243" spans="1:9" x14ac:dyDescent="0.35">
      <c r="A243" s="1" t="s">
        <v>1</v>
      </c>
      <c r="B243" t="s">
        <v>27</v>
      </c>
      <c r="C243" s="2"/>
      <c r="D243" s="2"/>
      <c r="E243" s="2"/>
      <c r="F243" s="2"/>
      <c r="G243" s="2"/>
      <c r="H243" s="2"/>
      <c r="I243" s="2"/>
    </row>
    <row r="244" spans="1:9" x14ac:dyDescent="0.35">
      <c r="A244" s="3" t="s">
        <v>2</v>
      </c>
      <c r="B244" t="s">
        <v>146</v>
      </c>
    </row>
    <row r="245" spans="1:9" x14ac:dyDescent="0.35">
      <c r="A245" s="4" t="s">
        <v>3</v>
      </c>
      <c r="B245" s="5" t="s">
        <v>4</v>
      </c>
      <c r="C245" s="5"/>
      <c r="D245" s="5"/>
      <c r="E245" s="5"/>
      <c r="F245" s="5"/>
      <c r="G245" s="5"/>
      <c r="H245" s="5"/>
      <c r="I245" s="5"/>
    </row>
    <row r="246" spans="1:9" x14ac:dyDescent="0.35">
      <c r="A246" s="4" t="s">
        <v>5</v>
      </c>
      <c r="B246" s="6">
        <v>1</v>
      </c>
      <c r="C246" s="5"/>
      <c r="D246" s="5"/>
      <c r="E246" s="5"/>
      <c r="F246" s="5"/>
      <c r="G246" s="5"/>
      <c r="H246" s="5"/>
      <c r="I246" s="5"/>
    </row>
    <row r="247" spans="1:9" x14ac:dyDescent="0.35">
      <c r="A247" s="4" t="s">
        <v>6</v>
      </c>
      <c r="B247" s="7" t="s">
        <v>7</v>
      </c>
      <c r="C247" s="5"/>
      <c r="D247" s="5"/>
      <c r="E247" s="5"/>
      <c r="F247" s="5"/>
      <c r="G247" s="5"/>
      <c r="H247" s="5"/>
      <c r="I247" s="5"/>
    </row>
    <row r="249" spans="1:9" x14ac:dyDescent="0.35">
      <c r="A249" s="3" t="s">
        <v>8</v>
      </c>
    </row>
    <row r="250" spans="1:9" x14ac:dyDescent="0.35">
      <c r="A250" s="3" t="s">
        <v>9</v>
      </c>
      <c r="B250" s="3" t="s">
        <v>10</v>
      </c>
      <c r="C250" s="3" t="s">
        <v>6</v>
      </c>
      <c r="D250" s="8" t="s">
        <v>11</v>
      </c>
      <c r="E250" s="3" t="s">
        <v>3</v>
      </c>
      <c r="F250" s="3" t="s">
        <v>12</v>
      </c>
      <c r="G250" s="3" t="s">
        <v>13</v>
      </c>
      <c r="H250" s="3" t="s">
        <v>14</v>
      </c>
      <c r="I250" t="s">
        <v>2</v>
      </c>
    </row>
    <row r="251" spans="1:9" x14ac:dyDescent="0.35">
      <c r="A251" t="str">
        <f>B243</f>
        <v>Composter_saint thomas</v>
      </c>
      <c r="B251" t="s">
        <v>15</v>
      </c>
      <c r="C251" t="s">
        <v>7</v>
      </c>
      <c r="D251" s="9">
        <v>1</v>
      </c>
      <c r="E251" t="s">
        <v>4</v>
      </c>
      <c r="F251" t="str">
        <f>$B$1</f>
        <v>SA OWM Facilities</v>
      </c>
      <c r="G251" t="s">
        <v>16</v>
      </c>
      <c r="H251" s="3"/>
      <c r="I251" t="s">
        <v>32</v>
      </c>
    </row>
    <row r="252" spans="1:9" x14ac:dyDescent="0.35">
      <c r="A252" s="9" t="s">
        <v>33</v>
      </c>
      <c r="B252" t="s">
        <v>34</v>
      </c>
      <c r="C252" t="s">
        <v>35</v>
      </c>
      <c r="D252">
        <v>1.6772116902968379</v>
      </c>
      <c r="E252" t="s">
        <v>4</v>
      </c>
      <c r="F252" s="20" t="s">
        <v>180</v>
      </c>
      <c r="G252" t="s">
        <v>18</v>
      </c>
      <c r="I252" t="s">
        <v>36</v>
      </c>
    </row>
    <row r="253" spans="1:9" x14ac:dyDescent="0.35">
      <c r="A253" t="s">
        <v>186</v>
      </c>
      <c r="B253" t="s">
        <v>187</v>
      </c>
      <c r="C253" t="s">
        <v>53</v>
      </c>
      <c r="D253" s="13">
        <v>2.5320055641349066</v>
      </c>
      <c r="E253" t="s">
        <v>49</v>
      </c>
      <c r="F253" s="20" t="s">
        <v>180</v>
      </c>
      <c r="G253" t="s">
        <v>18</v>
      </c>
      <c r="I253" t="s">
        <v>36</v>
      </c>
    </row>
    <row r="254" spans="1:9" x14ac:dyDescent="0.35">
      <c r="A254" t="s">
        <v>44</v>
      </c>
      <c r="B254" t="s">
        <v>45</v>
      </c>
      <c r="C254" t="s">
        <v>43</v>
      </c>
      <c r="D254" s="10">
        <f>Transportation!B6</f>
        <v>74</v>
      </c>
      <c r="E254" t="s">
        <v>46</v>
      </c>
      <c r="F254" s="20" t="s">
        <v>180</v>
      </c>
      <c r="G254" t="s">
        <v>18</v>
      </c>
      <c r="I254" t="s">
        <v>36</v>
      </c>
    </row>
    <row r="255" spans="1:9" x14ac:dyDescent="0.35">
      <c r="A255" t="s">
        <v>182</v>
      </c>
      <c r="B255" t="s">
        <v>55</v>
      </c>
      <c r="C255" t="s">
        <v>56</v>
      </c>
      <c r="D255">
        <v>-7.28915519494213</v>
      </c>
      <c r="E255" t="s">
        <v>4</v>
      </c>
      <c r="F255" s="20" t="s">
        <v>180</v>
      </c>
      <c r="G255" t="s">
        <v>18</v>
      </c>
      <c r="I255" t="s">
        <v>32</v>
      </c>
    </row>
    <row r="256" spans="1:9" x14ac:dyDescent="0.35">
      <c r="A256" t="s">
        <v>62</v>
      </c>
      <c r="C256" t="s">
        <v>53</v>
      </c>
      <c r="D256">
        <v>5.6135340059469772E-4</v>
      </c>
      <c r="F256" s="20" t="s">
        <v>181</v>
      </c>
      <c r="G256" t="s">
        <v>59</v>
      </c>
      <c r="H256" t="s">
        <v>60</v>
      </c>
      <c r="I256" t="s">
        <v>32</v>
      </c>
    </row>
    <row r="257" spans="1:9" x14ac:dyDescent="0.35">
      <c r="A257" t="s">
        <v>64</v>
      </c>
      <c r="C257" t="s">
        <v>53</v>
      </c>
      <c r="D257">
        <v>0.2245413602378791</v>
      </c>
      <c r="F257" s="20" t="s">
        <v>181</v>
      </c>
      <c r="G257" t="s">
        <v>59</v>
      </c>
      <c r="H257" t="s">
        <v>60</v>
      </c>
      <c r="I257" t="s">
        <v>32</v>
      </c>
    </row>
    <row r="258" spans="1:9" x14ac:dyDescent="0.35">
      <c r="A258" t="s">
        <v>66</v>
      </c>
      <c r="C258" t="s">
        <v>53</v>
      </c>
      <c r="D258" s="10">
        <v>1.6279248617246236</v>
      </c>
      <c r="F258" s="20" t="s">
        <v>181</v>
      </c>
      <c r="G258" t="s">
        <v>59</v>
      </c>
      <c r="H258" t="s">
        <v>60</v>
      </c>
      <c r="I258" t="s">
        <v>32</v>
      </c>
    </row>
    <row r="259" spans="1:9" x14ac:dyDescent="0.35">
      <c r="A259" t="s">
        <v>184</v>
      </c>
      <c r="C259" t="s">
        <v>53</v>
      </c>
      <c r="D259" s="11">
        <v>1.0852832411497491E-3</v>
      </c>
      <c r="F259" s="20" t="s">
        <v>181</v>
      </c>
      <c r="G259" t="s">
        <v>59</v>
      </c>
      <c r="H259" t="s">
        <v>60</v>
      </c>
      <c r="I259" t="s">
        <v>32</v>
      </c>
    </row>
    <row r="260" spans="1:9" x14ac:dyDescent="0.35">
      <c r="A260" t="s">
        <v>172</v>
      </c>
      <c r="B260" t="s">
        <v>141</v>
      </c>
      <c r="C260" t="s">
        <v>53</v>
      </c>
      <c r="D260">
        <v>0.29528799999999999</v>
      </c>
      <c r="E260" t="s">
        <v>144</v>
      </c>
      <c r="F260" s="20" t="s">
        <v>180</v>
      </c>
      <c r="G260" t="s">
        <v>67</v>
      </c>
    </row>
    <row r="261" spans="1:9" x14ac:dyDescent="0.35">
      <c r="A261" t="s">
        <v>173</v>
      </c>
      <c r="B261" t="s">
        <v>142</v>
      </c>
      <c r="C261" t="s">
        <v>53</v>
      </c>
      <c r="D261">
        <v>0.168736</v>
      </c>
      <c r="E261" t="s">
        <v>144</v>
      </c>
      <c r="F261" s="20" t="s">
        <v>180</v>
      </c>
      <c r="G261" t="s">
        <v>67</v>
      </c>
    </row>
    <row r="262" spans="1:9" x14ac:dyDescent="0.35">
      <c r="A262" t="s">
        <v>185</v>
      </c>
      <c r="B262" t="s">
        <v>143</v>
      </c>
      <c r="C262" t="s">
        <v>53</v>
      </c>
      <c r="D262">
        <v>0.253104</v>
      </c>
      <c r="E262" t="s">
        <v>144</v>
      </c>
      <c r="F262" s="20" t="s">
        <v>180</v>
      </c>
      <c r="G262" t="s">
        <v>67</v>
      </c>
    </row>
    <row r="263" spans="1:9" x14ac:dyDescent="0.35">
      <c r="D263" s="10"/>
    </row>
    <row r="264" spans="1:9" x14ac:dyDescent="0.35">
      <c r="D264" s="10"/>
    </row>
    <row r="265" spans="1:9" x14ac:dyDescent="0.35">
      <c r="D265" s="11"/>
    </row>
    <row r="268" spans="1:9" x14ac:dyDescent="0.35">
      <c r="A268" s="1" t="s">
        <v>1</v>
      </c>
      <c r="B268" s="2" t="s">
        <v>158</v>
      </c>
      <c r="C268" s="2"/>
      <c r="D268" s="2"/>
      <c r="E268" s="2"/>
      <c r="F268" s="2"/>
      <c r="G268" s="2"/>
      <c r="H268" s="2"/>
      <c r="I268" s="2"/>
    </row>
    <row r="269" spans="1:9" x14ac:dyDescent="0.35">
      <c r="A269" s="3" t="s">
        <v>2</v>
      </c>
      <c r="B269" t="s">
        <v>102</v>
      </c>
    </row>
    <row r="270" spans="1:9" x14ac:dyDescent="0.35">
      <c r="A270" s="4" t="s">
        <v>3</v>
      </c>
      <c r="B270" s="5" t="s">
        <v>4</v>
      </c>
      <c r="C270" s="5"/>
      <c r="D270" s="5"/>
      <c r="E270" s="5"/>
      <c r="F270" s="5"/>
      <c r="G270" s="5"/>
      <c r="H270" s="5"/>
      <c r="I270" s="5"/>
    </row>
    <row r="271" spans="1:9" x14ac:dyDescent="0.35">
      <c r="A271" s="4" t="s">
        <v>5</v>
      </c>
      <c r="B271" s="6">
        <v>1</v>
      </c>
      <c r="C271" s="5"/>
      <c r="D271" s="5"/>
      <c r="E271" s="5"/>
      <c r="F271" s="5"/>
      <c r="G271" s="5"/>
      <c r="H271" s="5"/>
      <c r="I271" s="5"/>
    </row>
    <row r="272" spans="1:9" x14ac:dyDescent="0.35">
      <c r="A272" s="4" t="s">
        <v>6</v>
      </c>
      <c r="B272" s="7" t="s">
        <v>7</v>
      </c>
      <c r="C272" s="5"/>
      <c r="D272" s="5"/>
      <c r="E272" s="5"/>
      <c r="F272" s="5"/>
      <c r="G272" s="5"/>
      <c r="H272" s="5"/>
      <c r="I272" s="5"/>
    </row>
    <row r="274" spans="1:9" x14ac:dyDescent="0.35">
      <c r="A274" s="3" t="s">
        <v>8</v>
      </c>
    </row>
    <row r="275" spans="1:9" x14ac:dyDescent="0.35">
      <c r="A275" s="3" t="s">
        <v>9</v>
      </c>
      <c r="B275" s="3" t="s">
        <v>10</v>
      </c>
      <c r="C275" s="3" t="s">
        <v>6</v>
      </c>
      <c r="D275" s="8" t="s">
        <v>11</v>
      </c>
      <c r="E275" s="3" t="s">
        <v>3</v>
      </c>
      <c r="F275" s="3" t="s">
        <v>12</v>
      </c>
      <c r="G275" s="3" t="s">
        <v>13</v>
      </c>
      <c r="H275" s="3" t="s">
        <v>14</v>
      </c>
      <c r="I275" t="s">
        <v>2</v>
      </c>
    </row>
    <row r="276" spans="1:9" x14ac:dyDescent="0.35">
      <c r="A276" t="str">
        <f>B268</f>
        <v>lewerenz_Open Composter</v>
      </c>
      <c r="B276" t="s">
        <v>15</v>
      </c>
      <c r="C276" t="s">
        <v>7</v>
      </c>
      <c r="D276" s="9">
        <v>1</v>
      </c>
      <c r="E276" t="str">
        <f>B270</f>
        <v>CA-QC</v>
      </c>
      <c r="F276" t="str">
        <f>$B$1</f>
        <v>SA OWM Facilities</v>
      </c>
      <c r="G276" t="s">
        <v>16</v>
      </c>
      <c r="H276" s="3"/>
      <c r="I276" t="s">
        <v>32</v>
      </c>
    </row>
    <row r="277" spans="1:9" x14ac:dyDescent="0.35">
      <c r="A277" s="9" t="s">
        <v>33</v>
      </c>
      <c r="B277" t="s">
        <v>34</v>
      </c>
      <c r="C277" t="s">
        <v>35</v>
      </c>
      <c r="D277" s="10">
        <f>0.0045*1000</f>
        <v>4.5</v>
      </c>
      <c r="E277" t="s">
        <v>31</v>
      </c>
      <c r="F277" s="20" t="s">
        <v>180</v>
      </c>
      <c r="G277" t="s">
        <v>18</v>
      </c>
      <c r="I277" t="s">
        <v>36</v>
      </c>
    </row>
    <row r="278" spans="1:9" x14ac:dyDescent="0.35">
      <c r="A278" t="s">
        <v>37</v>
      </c>
      <c r="B278" t="s">
        <v>38</v>
      </c>
      <c r="C278" t="s">
        <v>39</v>
      </c>
      <c r="D278" s="10">
        <f>0.000213066494623584*1000</f>
        <v>0.21306649462358399</v>
      </c>
      <c r="E278" t="s">
        <v>40</v>
      </c>
      <c r="F278" s="20" t="s">
        <v>180</v>
      </c>
      <c r="G278" t="s">
        <v>18</v>
      </c>
      <c r="I278" t="s">
        <v>36</v>
      </c>
    </row>
    <row r="279" spans="1:9" x14ac:dyDescent="0.35">
      <c r="A279" t="s">
        <v>41</v>
      </c>
      <c r="B279" t="s">
        <v>42</v>
      </c>
      <c r="C279" t="s">
        <v>43</v>
      </c>
      <c r="D279" s="10">
        <f>0.015*1000</f>
        <v>15</v>
      </c>
      <c r="E279" t="s">
        <v>40</v>
      </c>
      <c r="F279" s="20" t="s">
        <v>180</v>
      </c>
      <c r="G279" t="s">
        <v>18</v>
      </c>
      <c r="I279" t="s">
        <v>36</v>
      </c>
    </row>
    <row r="280" spans="1:9" x14ac:dyDescent="0.35">
      <c r="A280" t="s">
        <v>44</v>
      </c>
      <c r="B280" t="s">
        <v>45</v>
      </c>
      <c r="C280" t="s">
        <v>43</v>
      </c>
      <c r="D280" s="10">
        <f>0.017*1000</f>
        <v>17</v>
      </c>
      <c r="E280" t="s">
        <v>46</v>
      </c>
      <c r="F280" s="20" t="s">
        <v>180</v>
      </c>
      <c r="G280" t="s">
        <v>18</v>
      </c>
      <c r="I280" t="s">
        <v>36</v>
      </c>
    </row>
    <row r="281" spans="1:9" x14ac:dyDescent="0.35">
      <c r="A281" t="s">
        <v>47</v>
      </c>
      <c r="B281" t="s">
        <v>48</v>
      </c>
      <c r="C281" t="s">
        <v>6</v>
      </c>
      <c r="D281" s="10">
        <f>0.0000000040014*1000</f>
        <v>4.0013999999999995E-6</v>
      </c>
      <c r="E281" t="s">
        <v>49</v>
      </c>
      <c r="F281" s="20" t="s">
        <v>180</v>
      </c>
      <c r="G281" t="s">
        <v>18</v>
      </c>
      <c r="I281" t="s">
        <v>50</v>
      </c>
    </row>
    <row r="282" spans="1:9" x14ac:dyDescent="0.35">
      <c r="A282" t="s">
        <v>51</v>
      </c>
      <c r="B282" t="s">
        <v>52</v>
      </c>
      <c r="C282" t="s">
        <v>53</v>
      </c>
      <c r="D282" s="10">
        <f>0.0000185*1000</f>
        <v>1.8499999999999999E-2</v>
      </c>
      <c r="E282" t="s">
        <v>31</v>
      </c>
      <c r="F282" s="20" t="s">
        <v>180</v>
      </c>
      <c r="G282" t="s">
        <v>18</v>
      </c>
      <c r="I282" t="s">
        <v>32</v>
      </c>
    </row>
    <row r="283" spans="1:9" x14ac:dyDescent="0.35">
      <c r="A283" t="s">
        <v>54</v>
      </c>
      <c r="B283" t="s">
        <v>55</v>
      </c>
      <c r="C283" t="s">
        <v>56</v>
      </c>
      <c r="D283" s="10">
        <f>0.000225*1000</f>
        <v>0.22500000000000001</v>
      </c>
      <c r="E283" t="s">
        <v>57</v>
      </c>
      <c r="F283" s="20" t="s">
        <v>180</v>
      </c>
      <c r="G283" t="s">
        <v>18</v>
      </c>
      <c r="I283" t="s">
        <v>32</v>
      </c>
    </row>
    <row r="284" spans="1:9" x14ac:dyDescent="0.35">
      <c r="A284" t="s">
        <v>58</v>
      </c>
      <c r="C284" t="s">
        <v>56</v>
      </c>
      <c r="D284" s="10">
        <f>0.000125*1000</f>
        <v>0.125</v>
      </c>
      <c r="F284" s="20" t="s">
        <v>181</v>
      </c>
      <c r="G284" t="s">
        <v>59</v>
      </c>
      <c r="H284" t="s">
        <v>58</v>
      </c>
      <c r="I284" t="s">
        <v>61</v>
      </c>
    </row>
    <row r="285" spans="1:9" x14ac:dyDescent="0.35">
      <c r="A285" t="s">
        <v>62</v>
      </c>
      <c r="C285" t="s">
        <v>53</v>
      </c>
      <c r="D285" s="11">
        <f>1000*0.0007116</f>
        <v>0.7115999999999999</v>
      </c>
      <c r="F285" s="20" t="s">
        <v>181</v>
      </c>
      <c r="G285" t="s">
        <v>59</v>
      </c>
      <c r="H285" t="s">
        <v>60</v>
      </c>
      <c r="I285" t="s">
        <v>32</v>
      </c>
    </row>
    <row r="286" spans="1:9" x14ac:dyDescent="0.35">
      <c r="A286" t="s">
        <v>63</v>
      </c>
      <c r="C286" t="s">
        <v>53</v>
      </c>
      <c r="D286" s="10">
        <f>1000*0.09793</f>
        <v>97.93</v>
      </c>
      <c r="F286" s="20" t="s">
        <v>181</v>
      </c>
      <c r="G286" t="s">
        <v>59</v>
      </c>
      <c r="H286" t="s">
        <v>60</v>
      </c>
      <c r="I286" t="s">
        <v>32</v>
      </c>
    </row>
    <row r="287" spans="1:9" x14ac:dyDescent="0.35">
      <c r="A287" t="s">
        <v>64</v>
      </c>
      <c r="C287" t="s">
        <v>53</v>
      </c>
      <c r="D287" s="10">
        <f>1000*0.00015225</f>
        <v>0.15225</v>
      </c>
      <c r="F287" s="20" t="s">
        <v>181</v>
      </c>
      <c r="G287" t="s">
        <v>59</v>
      </c>
      <c r="H287" t="s">
        <v>60</v>
      </c>
      <c r="I287" t="s">
        <v>32</v>
      </c>
    </row>
    <row r="293" spans="1:9" x14ac:dyDescent="0.35">
      <c r="D293" s="10"/>
    </row>
    <row r="296" spans="1:9" x14ac:dyDescent="0.35">
      <c r="A296" s="1" t="s">
        <v>1</v>
      </c>
      <c r="B296" s="2" t="s">
        <v>169</v>
      </c>
      <c r="C296" s="2"/>
      <c r="D296" s="2"/>
      <c r="E296" s="2"/>
      <c r="F296" s="2"/>
      <c r="G296" s="2"/>
      <c r="H296" s="2"/>
      <c r="I296" s="2"/>
    </row>
    <row r="297" spans="1:9" ht="15.5" x14ac:dyDescent="0.35">
      <c r="A297" s="3" t="s">
        <v>2</v>
      </c>
      <c r="B297" s="22" t="s">
        <v>171</v>
      </c>
    </row>
    <row r="298" spans="1:9" x14ac:dyDescent="0.35">
      <c r="A298" s="4" t="s">
        <v>3</v>
      </c>
      <c r="B298" s="5" t="s">
        <v>170</v>
      </c>
      <c r="C298" s="5"/>
      <c r="D298" s="5"/>
      <c r="E298" s="5"/>
      <c r="F298" s="5"/>
      <c r="G298" s="5"/>
      <c r="H298" s="5"/>
      <c r="I298" s="5"/>
    </row>
    <row r="299" spans="1:9" x14ac:dyDescent="0.35">
      <c r="A299" s="4" t="s">
        <v>5</v>
      </c>
      <c r="B299" s="6">
        <v>1</v>
      </c>
      <c r="C299" s="5"/>
      <c r="D299" s="5"/>
      <c r="E299" s="5"/>
      <c r="F299" s="5"/>
      <c r="G299" s="5"/>
      <c r="H299" s="5"/>
      <c r="I299" s="5"/>
    </row>
    <row r="300" spans="1:9" x14ac:dyDescent="0.35">
      <c r="A300" s="4" t="s">
        <v>6</v>
      </c>
      <c r="B300" s="7" t="s">
        <v>7</v>
      </c>
      <c r="C300" s="5"/>
      <c r="D300" s="5"/>
      <c r="E300" s="5"/>
      <c r="F300" s="5"/>
      <c r="G300" s="5"/>
      <c r="H300" s="5"/>
      <c r="I300" s="5"/>
    </row>
    <row r="302" spans="1:9" x14ac:dyDescent="0.35">
      <c r="A302" s="3" t="s">
        <v>8</v>
      </c>
    </row>
    <row r="303" spans="1:9" x14ac:dyDescent="0.35">
      <c r="A303" s="3" t="s">
        <v>9</v>
      </c>
      <c r="B303" s="3" t="s">
        <v>10</v>
      </c>
      <c r="C303" s="3" t="s">
        <v>6</v>
      </c>
      <c r="D303" s="8" t="s">
        <v>11</v>
      </c>
      <c r="E303" s="3" t="s">
        <v>3</v>
      </c>
      <c r="F303" s="3" t="s">
        <v>12</v>
      </c>
      <c r="G303" s="3" t="s">
        <v>13</v>
      </c>
      <c r="H303" s="3" t="s">
        <v>14</v>
      </c>
      <c r="I303" t="s">
        <v>2</v>
      </c>
    </row>
    <row r="304" spans="1:9" x14ac:dyDescent="0.35">
      <c r="A304" t="str">
        <f>B296</f>
        <v>NS_compost</v>
      </c>
      <c r="B304" t="s">
        <v>15</v>
      </c>
      <c r="C304" t="s">
        <v>7</v>
      </c>
      <c r="D304">
        <v>1</v>
      </c>
      <c r="E304" t="str">
        <f>B298</f>
        <v>CA-NS</v>
      </c>
      <c r="F304" t="str">
        <f>B1</f>
        <v>SA OWM Facilities</v>
      </c>
      <c r="G304" t="s">
        <v>16</v>
      </c>
      <c r="I304" t="s">
        <v>32</v>
      </c>
    </row>
    <row r="305" spans="1:9" x14ac:dyDescent="0.35">
      <c r="A305" t="s">
        <v>33</v>
      </c>
      <c r="B305" t="s">
        <v>34</v>
      </c>
      <c r="C305" t="s">
        <v>35</v>
      </c>
      <c r="D305">
        <v>27.42983199561294</v>
      </c>
      <c r="E305" t="str">
        <f>E304</f>
        <v>CA-NS</v>
      </c>
      <c r="F305" s="20" t="s">
        <v>180</v>
      </c>
      <c r="G305" t="s">
        <v>18</v>
      </c>
      <c r="I305" t="s">
        <v>36</v>
      </c>
    </row>
    <row r="306" spans="1:9" x14ac:dyDescent="0.35">
      <c r="A306" t="s">
        <v>186</v>
      </c>
      <c r="B306" t="s">
        <v>187</v>
      </c>
      <c r="C306" t="s">
        <v>53</v>
      </c>
      <c r="D306">
        <v>3.34</v>
      </c>
      <c r="E306" t="s">
        <v>49</v>
      </c>
      <c r="F306" s="20" t="s">
        <v>180</v>
      </c>
      <c r="G306" t="s">
        <v>18</v>
      </c>
      <c r="I306" t="s">
        <v>36</v>
      </c>
    </row>
    <row r="307" spans="1:9" x14ac:dyDescent="0.35">
      <c r="A307" t="s">
        <v>64</v>
      </c>
      <c r="C307" t="s">
        <v>53</v>
      </c>
      <c r="D307">
        <v>8.9947155890124133</v>
      </c>
      <c r="F307" s="20" t="s">
        <v>181</v>
      </c>
      <c r="G307" t="s">
        <v>59</v>
      </c>
      <c r="H307" t="s">
        <v>60</v>
      </c>
      <c r="I307" t="s">
        <v>32</v>
      </c>
    </row>
    <row r="308" spans="1:9" x14ac:dyDescent="0.35">
      <c r="A308" t="s">
        <v>66</v>
      </c>
      <c r="C308" t="s">
        <v>53</v>
      </c>
      <c r="D308">
        <v>5.6084551000000003E-2</v>
      </c>
      <c r="F308" s="20" t="s">
        <v>181</v>
      </c>
      <c r="G308" t="s">
        <v>59</v>
      </c>
      <c r="H308" t="s">
        <v>60</v>
      </c>
      <c r="I308" t="s">
        <v>32</v>
      </c>
    </row>
    <row r="309" spans="1:9" x14ac:dyDescent="0.35">
      <c r="A309" t="s">
        <v>51</v>
      </c>
      <c r="B309" t="s">
        <v>52</v>
      </c>
      <c r="C309" t="s">
        <v>53</v>
      </c>
      <c r="D309">
        <v>9.1355501271249806E-2</v>
      </c>
      <c r="E309" s="14" t="s">
        <v>4</v>
      </c>
      <c r="F309" s="20" t="s">
        <v>180</v>
      </c>
      <c r="G309" t="s">
        <v>18</v>
      </c>
      <c r="I309" t="s">
        <v>32</v>
      </c>
    </row>
    <row r="310" spans="1:9" x14ac:dyDescent="0.35">
      <c r="A310" t="s">
        <v>63</v>
      </c>
      <c r="C310" t="s">
        <v>53</v>
      </c>
      <c r="D310" s="10">
        <v>34.182910409999998</v>
      </c>
      <c r="F310" s="20" t="s">
        <v>181</v>
      </c>
      <c r="G310" t="s">
        <v>59</v>
      </c>
      <c r="H310" t="s">
        <v>60</v>
      </c>
      <c r="I310" t="s">
        <v>32</v>
      </c>
    </row>
    <row r="311" spans="1:9" x14ac:dyDescent="0.35">
      <c r="A311" t="s">
        <v>172</v>
      </c>
      <c r="B311" t="s">
        <v>141</v>
      </c>
      <c r="C311" t="s">
        <v>53</v>
      </c>
      <c r="D311">
        <v>1.7807999999999999</v>
      </c>
      <c r="E311" t="s">
        <v>144</v>
      </c>
      <c r="F311" s="20" t="s">
        <v>180</v>
      </c>
      <c r="G311" t="s">
        <v>67</v>
      </c>
    </row>
    <row r="312" spans="1:9" x14ac:dyDescent="0.35">
      <c r="A312" t="s">
        <v>173</v>
      </c>
      <c r="B312" t="s">
        <v>142</v>
      </c>
      <c r="C312" t="s">
        <v>53</v>
      </c>
      <c r="D312">
        <v>1.0176000000000001</v>
      </c>
      <c r="E312" t="s">
        <v>144</v>
      </c>
      <c r="F312" s="20" t="s">
        <v>180</v>
      </c>
      <c r="G312" t="s">
        <v>67</v>
      </c>
    </row>
    <row r="313" spans="1:9" x14ac:dyDescent="0.35">
      <c r="A313" t="s">
        <v>185</v>
      </c>
      <c r="B313" t="s">
        <v>143</v>
      </c>
      <c r="C313" t="s">
        <v>53</v>
      </c>
      <c r="D313">
        <v>1.5264</v>
      </c>
      <c r="E313" t="s">
        <v>144</v>
      </c>
      <c r="F313" s="20" t="s">
        <v>180</v>
      </c>
      <c r="G313" t="s">
        <v>67</v>
      </c>
    </row>
    <row r="317" spans="1:9" x14ac:dyDescent="0.35">
      <c r="A317" s="1" t="s">
        <v>1</v>
      </c>
      <c r="B317" s="2" t="s">
        <v>252</v>
      </c>
      <c r="C317" s="2"/>
      <c r="D317" s="2"/>
      <c r="E317" s="2"/>
      <c r="F317" s="2"/>
      <c r="G317" s="2"/>
      <c r="H317" s="2"/>
      <c r="I317" s="2"/>
    </row>
    <row r="318" spans="1:9" x14ac:dyDescent="0.35">
      <c r="A318" s="3" t="s">
        <v>2</v>
      </c>
      <c r="B318" t="s">
        <v>68</v>
      </c>
    </row>
    <row r="319" spans="1:9" x14ac:dyDescent="0.35">
      <c r="A319" s="4" t="s">
        <v>3</v>
      </c>
      <c r="B319" s="5" t="s">
        <v>4</v>
      </c>
      <c r="C319" s="5"/>
      <c r="D319" s="5"/>
      <c r="E319" s="5"/>
      <c r="F319" s="5"/>
      <c r="G319" s="5"/>
      <c r="H319" s="5"/>
      <c r="I319" s="5"/>
    </row>
    <row r="320" spans="1:9" x14ac:dyDescent="0.35">
      <c r="A320" s="4" t="s">
        <v>5</v>
      </c>
      <c r="B320" s="6">
        <v>1</v>
      </c>
      <c r="C320" s="5"/>
      <c r="D320" s="5"/>
      <c r="E320" s="5"/>
      <c r="F320" s="5"/>
      <c r="G320" s="5"/>
      <c r="H320" s="5"/>
      <c r="I320" s="5"/>
    </row>
    <row r="321" spans="1:9" x14ac:dyDescent="0.35">
      <c r="A321" s="4" t="s">
        <v>6</v>
      </c>
      <c r="B321" s="5" t="s">
        <v>7</v>
      </c>
      <c r="C321" s="5"/>
      <c r="D321" s="5"/>
      <c r="E321" s="5"/>
      <c r="F321" s="5"/>
      <c r="G321" s="5"/>
      <c r="H321" s="5"/>
      <c r="I321" s="5"/>
    </row>
    <row r="323" spans="1:9" x14ac:dyDescent="0.35">
      <c r="A323" s="3" t="s">
        <v>8</v>
      </c>
    </row>
    <row r="324" spans="1:9" x14ac:dyDescent="0.35">
      <c r="A324" s="3" t="s">
        <v>9</v>
      </c>
      <c r="B324" s="3" t="s">
        <v>10</v>
      </c>
      <c r="C324" s="3" t="s">
        <v>6</v>
      </c>
      <c r="D324" s="8" t="s">
        <v>11</v>
      </c>
      <c r="E324" s="3" t="s">
        <v>3</v>
      </c>
      <c r="F324" s="3" t="s">
        <v>12</v>
      </c>
      <c r="G324" s="3" t="s">
        <v>13</v>
      </c>
      <c r="H324" s="3" t="s">
        <v>14</v>
      </c>
      <c r="I324" t="s">
        <v>2</v>
      </c>
    </row>
    <row r="325" spans="1:9" x14ac:dyDescent="0.35">
      <c r="A325" t="str">
        <f>B317</f>
        <v>AD_nutrient_sheet</v>
      </c>
      <c r="B325" t="s">
        <v>15</v>
      </c>
      <c r="C325" t="s">
        <v>7</v>
      </c>
      <c r="D325" s="12">
        <v>1</v>
      </c>
      <c r="E325" t="str">
        <f>B319</f>
        <v>CA-QC</v>
      </c>
      <c r="F325" t="str">
        <f>$B$1</f>
        <v>SA OWM Facilities</v>
      </c>
      <c r="G325" t="s">
        <v>16</v>
      </c>
    </row>
    <row r="326" spans="1:9" x14ac:dyDescent="0.35">
      <c r="A326" t="s">
        <v>33</v>
      </c>
      <c r="B326" t="s">
        <v>34</v>
      </c>
      <c r="C326" t="s">
        <v>35</v>
      </c>
      <c r="D326" s="10">
        <f>1000*0.002135</f>
        <v>2.1350000000000002</v>
      </c>
      <c r="E326" t="str">
        <f>E325</f>
        <v>CA-QC</v>
      </c>
      <c r="F326" s="20" t="s">
        <v>180</v>
      </c>
      <c r="G326" t="s">
        <v>18</v>
      </c>
    </row>
    <row r="327" spans="1:9" x14ac:dyDescent="0.35">
      <c r="A327" t="s">
        <v>70</v>
      </c>
      <c r="B327" t="s">
        <v>71</v>
      </c>
      <c r="C327" t="s">
        <v>72</v>
      </c>
      <c r="D327" s="10">
        <f>1000*0.2416</f>
        <v>241.60000000000002</v>
      </c>
      <c r="E327" t="s">
        <v>49</v>
      </c>
      <c r="F327" s="20" t="s">
        <v>180</v>
      </c>
      <c r="G327" t="s">
        <v>18</v>
      </c>
    </row>
    <row r="328" spans="1:9" x14ac:dyDescent="0.35">
      <c r="A328" t="s">
        <v>37</v>
      </c>
      <c r="B328" t="s">
        <v>38</v>
      </c>
      <c r="C328" t="s">
        <v>39</v>
      </c>
      <c r="D328" s="10">
        <f>1000*0.000352112676056338</f>
        <v>0.352112676056338</v>
      </c>
      <c r="E328" t="s">
        <v>40</v>
      </c>
      <c r="F328" s="20" t="s">
        <v>180</v>
      </c>
      <c r="G328" t="s">
        <v>18</v>
      </c>
    </row>
    <row r="329" spans="1:9" x14ac:dyDescent="0.35">
      <c r="A329" t="s">
        <v>73</v>
      </c>
      <c r="B329" t="s">
        <v>74</v>
      </c>
      <c r="C329" t="s">
        <v>53</v>
      </c>
      <c r="D329" s="10">
        <f>1000*0.225</f>
        <v>225</v>
      </c>
      <c r="E329" t="s">
        <v>69</v>
      </c>
      <c r="F329" s="20" t="s">
        <v>180</v>
      </c>
      <c r="G329" t="s">
        <v>18</v>
      </c>
    </row>
    <row r="330" spans="1:9" x14ac:dyDescent="0.35">
      <c r="A330" t="s">
        <v>44</v>
      </c>
      <c r="B330" t="s">
        <v>45</v>
      </c>
      <c r="C330" t="s">
        <v>43</v>
      </c>
      <c r="D330" s="10">
        <f>Transportation!B311</f>
        <v>0</v>
      </c>
      <c r="E330" t="s">
        <v>46</v>
      </c>
      <c r="F330" s="20" t="s">
        <v>180</v>
      </c>
      <c r="G330" t="s">
        <v>18</v>
      </c>
    </row>
    <row r="331" spans="1:9" x14ac:dyDescent="0.35">
      <c r="A331" t="s">
        <v>62</v>
      </c>
      <c r="C331" t="s">
        <v>53</v>
      </c>
      <c r="D331" s="11">
        <f>1000*0.0001456</f>
        <v>0.14559999999999998</v>
      </c>
      <c r="F331" s="20" t="s">
        <v>181</v>
      </c>
      <c r="G331" t="s">
        <v>59</v>
      </c>
      <c r="H331" t="s">
        <v>60</v>
      </c>
    </row>
    <row r="332" spans="1:9" x14ac:dyDescent="0.35">
      <c r="A332" t="s">
        <v>63</v>
      </c>
      <c r="C332" t="s">
        <v>53</v>
      </c>
      <c r="D332" s="11">
        <f>1000*0.0916</f>
        <v>91.6</v>
      </c>
      <c r="F332" s="20" t="s">
        <v>181</v>
      </c>
      <c r="G332" t="s">
        <v>59</v>
      </c>
      <c r="H332" t="s">
        <v>60</v>
      </c>
    </row>
    <row r="333" spans="1:9" x14ac:dyDescent="0.35">
      <c r="A333" t="s">
        <v>64</v>
      </c>
      <c r="C333" t="s">
        <v>53</v>
      </c>
      <c r="D333" s="11">
        <f>1000*0.00008</f>
        <v>0.08</v>
      </c>
      <c r="F333" s="20" t="s">
        <v>181</v>
      </c>
      <c r="G333" t="s">
        <v>59</v>
      </c>
      <c r="H333" t="s">
        <v>60</v>
      </c>
    </row>
    <row r="334" spans="1:9" x14ac:dyDescent="0.35">
      <c r="A334" t="s">
        <v>65</v>
      </c>
      <c r="C334" t="s">
        <v>53</v>
      </c>
      <c r="D334" s="11">
        <f>1000*0.0000896</f>
        <v>8.9599999999999999E-2</v>
      </c>
      <c r="F334" s="20" t="s">
        <v>181</v>
      </c>
      <c r="G334" t="s">
        <v>59</v>
      </c>
      <c r="H334" t="s">
        <v>60</v>
      </c>
    </row>
    <row r="335" spans="1:9" x14ac:dyDescent="0.35">
      <c r="A335" t="s">
        <v>66</v>
      </c>
      <c r="C335" t="s">
        <v>53</v>
      </c>
      <c r="D335" s="11">
        <f>1000*0.00274</f>
        <v>2.7399999999999998</v>
      </c>
      <c r="F335" s="20" t="s">
        <v>181</v>
      </c>
      <c r="G335" t="s">
        <v>59</v>
      </c>
      <c r="H335" t="s">
        <v>60</v>
      </c>
    </row>
    <row r="336" spans="1:9" x14ac:dyDescent="0.35">
      <c r="A336" t="s">
        <v>184</v>
      </c>
      <c r="C336" t="s">
        <v>53</v>
      </c>
      <c r="D336" s="10">
        <f>1000*0.000426</f>
        <v>0.42599999999999999</v>
      </c>
      <c r="F336" s="20" t="s">
        <v>181</v>
      </c>
      <c r="G336" t="s">
        <v>59</v>
      </c>
      <c r="H336" t="s">
        <v>60</v>
      </c>
    </row>
    <row r="337" spans="1:9" x14ac:dyDescent="0.35">
      <c r="A337" t="s">
        <v>75</v>
      </c>
      <c r="C337" t="s">
        <v>53</v>
      </c>
      <c r="D337" s="10">
        <f>1000*0.00000297</f>
        <v>2.97E-3</v>
      </c>
      <c r="F337" s="20" t="s">
        <v>181</v>
      </c>
      <c r="G337" t="s">
        <v>59</v>
      </c>
      <c r="H337" t="s">
        <v>60</v>
      </c>
    </row>
    <row r="338" spans="1:9" x14ac:dyDescent="0.35">
      <c r="A338" t="s">
        <v>76</v>
      </c>
      <c r="C338" t="s">
        <v>53</v>
      </c>
      <c r="D338" s="10">
        <f>1000*0.0000000928</f>
        <v>9.2799999999999992E-5</v>
      </c>
      <c r="F338" s="20" t="s">
        <v>181</v>
      </c>
      <c r="G338" t="s">
        <v>59</v>
      </c>
      <c r="H338" t="s">
        <v>58</v>
      </c>
    </row>
    <row r="339" spans="1:9" x14ac:dyDescent="0.35">
      <c r="A339" t="s">
        <v>77</v>
      </c>
      <c r="C339" t="s">
        <v>53</v>
      </c>
      <c r="D339" s="10">
        <f>1000*0.000000109</f>
        <v>1.0899999999999999E-4</v>
      </c>
      <c r="F339" s="20" t="s">
        <v>181</v>
      </c>
      <c r="G339" t="s">
        <v>59</v>
      </c>
      <c r="H339" t="s">
        <v>58</v>
      </c>
    </row>
    <row r="340" spans="1:9" x14ac:dyDescent="0.35">
      <c r="A340" t="s">
        <v>78</v>
      </c>
      <c r="C340" t="s">
        <v>53</v>
      </c>
      <c r="D340" s="10">
        <f>1000*0.0000000704</f>
        <v>7.039999999999999E-5</v>
      </c>
      <c r="F340" s="20" t="s">
        <v>181</v>
      </c>
      <c r="G340" t="s">
        <v>59</v>
      </c>
      <c r="H340" t="s">
        <v>60</v>
      </c>
    </row>
    <row r="341" spans="1:9" x14ac:dyDescent="0.35">
      <c r="A341" t="s">
        <v>182</v>
      </c>
      <c r="B341" t="s">
        <v>55</v>
      </c>
      <c r="C341" t="s">
        <v>56</v>
      </c>
      <c r="D341">
        <v>-0.22500000000000001</v>
      </c>
      <c r="E341" t="s">
        <v>4</v>
      </c>
      <c r="F341" s="20" t="s">
        <v>180</v>
      </c>
      <c r="G341" t="s">
        <v>18</v>
      </c>
      <c r="I341" t="s">
        <v>32</v>
      </c>
    </row>
    <row r="342" spans="1:9" x14ac:dyDescent="0.35">
      <c r="A342" t="s">
        <v>177</v>
      </c>
      <c r="B342" t="s">
        <v>176</v>
      </c>
      <c r="C342" t="s">
        <v>56</v>
      </c>
      <c r="D342">
        <f>'Natural gas credit'!B15</f>
        <v>31.419429366736257</v>
      </c>
      <c r="E342" t="s">
        <v>183</v>
      </c>
      <c r="F342" s="20" t="s">
        <v>180</v>
      </c>
      <c r="G342" t="s">
        <v>67</v>
      </c>
    </row>
    <row r="343" spans="1:9" x14ac:dyDescent="0.35">
      <c r="A343" t="s">
        <v>172</v>
      </c>
      <c r="B343" t="s">
        <v>141</v>
      </c>
      <c r="C343" t="s">
        <v>53</v>
      </c>
      <c r="D343">
        <v>8.3637999999999977</v>
      </c>
      <c r="E343" t="s">
        <v>144</v>
      </c>
      <c r="F343" s="20" t="s">
        <v>180</v>
      </c>
      <c r="G343" t="s">
        <v>67</v>
      </c>
      <c r="I343" t="s">
        <v>204</v>
      </c>
    </row>
    <row r="344" spans="1:9" x14ac:dyDescent="0.35">
      <c r="A344" t="s">
        <v>173</v>
      </c>
      <c r="B344" t="s">
        <v>142</v>
      </c>
      <c r="C344" t="s">
        <v>53</v>
      </c>
      <c r="D344">
        <v>8.8349999999999973</v>
      </c>
      <c r="E344" t="s">
        <v>144</v>
      </c>
      <c r="F344" s="20" t="s">
        <v>180</v>
      </c>
      <c r="G344" t="s">
        <v>67</v>
      </c>
    </row>
    <row r="345" spans="1:9" x14ac:dyDescent="0.35">
      <c r="A345" t="s">
        <v>185</v>
      </c>
      <c r="B345" t="s">
        <v>143</v>
      </c>
      <c r="C345" t="s">
        <v>53</v>
      </c>
      <c r="D345">
        <v>0.76569999999999983</v>
      </c>
      <c r="E345" t="s">
        <v>144</v>
      </c>
      <c r="F345" s="20" t="s">
        <v>180</v>
      </c>
      <c r="G345" t="s">
        <v>67</v>
      </c>
    </row>
    <row r="348" spans="1:9" x14ac:dyDescent="0.35">
      <c r="A348" t="s">
        <v>1</v>
      </c>
      <c r="B348" t="s">
        <v>255</v>
      </c>
    </row>
    <row r="349" spans="1:9" x14ac:dyDescent="0.35">
      <c r="A349" t="s">
        <v>2</v>
      </c>
      <c r="B349" t="s">
        <v>257</v>
      </c>
    </row>
    <row r="350" spans="1:9" x14ac:dyDescent="0.35">
      <c r="A350" t="s">
        <v>3</v>
      </c>
      <c r="B350" t="s">
        <v>4</v>
      </c>
    </row>
    <row r="351" spans="1:9" x14ac:dyDescent="0.35">
      <c r="A351" t="s">
        <v>5</v>
      </c>
      <c r="B351">
        <v>1</v>
      </c>
    </row>
    <row r="352" spans="1:9" x14ac:dyDescent="0.35">
      <c r="A352" t="s">
        <v>6</v>
      </c>
      <c r="B352" t="s">
        <v>7</v>
      </c>
    </row>
    <row r="354" spans="1:9" x14ac:dyDescent="0.35">
      <c r="A354" t="s">
        <v>8</v>
      </c>
    </row>
    <row r="355" spans="1:9" x14ac:dyDescent="0.35">
      <c r="A355" t="s">
        <v>9</v>
      </c>
      <c r="B355" t="s">
        <v>10</v>
      </c>
      <c r="C355" t="s">
        <v>6</v>
      </c>
      <c r="D355" t="s">
        <v>11</v>
      </c>
      <c r="E355" t="s">
        <v>3</v>
      </c>
      <c r="F355" t="s">
        <v>12</v>
      </c>
      <c r="G355" t="s">
        <v>13</v>
      </c>
      <c r="H355" t="s">
        <v>14</v>
      </c>
      <c r="I355" t="s">
        <v>2</v>
      </c>
    </row>
    <row r="356" spans="1:9" x14ac:dyDescent="0.35">
      <c r="A356" t="str">
        <f>B348</f>
        <v>Closed-tunnel Composter (city)</v>
      </c>
      <c r="B356" t="s">
        <v>15</v>
      </c>
      <c r="C356" t="s">
        <v>7</v>
      </c>
      <c r="D356">
        <v>1</v>
      </c>
      <c r="E356" t="s">
        <v>4</v>
      </c>
      <c r="F356" t="s">
        <v>333</v>
      </c>
      <c r="G356" t="s">
        <v>16</v>
      </c>
      <c r="I356" t="s">
        <v>32</v>
      </c>
    </row>
    <row r="357" spans="1:9" x14ac:dyDescent="0.35">
      <c r="A357" t="s">
        <v>33</v>
      </c>
      <c r="B357" t="s">
        <v>34</v>
      </c>
      <c r="C357" t="s">
        <v>35</v>
      </c>
      <c r="D357">
        <v>33</v>
      </c>
      <c r="E357" t="s">
        <v>4</v>
      </c>
      <c r="F357" t="s">
        <v>180</v>
      </c>
      <c r="G357" t="s">
        <v>18</v>
      </c>
      <c r="I357" t="s">
        <v>36</v>
      </c>
    </row>
    <row r="358" spans="1:9" x14ac:dyDescent="0.35">
      <c r="A358" t="s">
        <v>37</v>
      </c>
      <c r="B358" t="s">
        <v>38</v>
      </c>
      <c r="C358" t="s">
        <v>39</v>
      </c>
      <c r="D358">
        <v>0.25301646236550601</v>
      </c>
      <c r="E358" t="s">
        <v>40</v>
      </c>
      <c r="F358" t="s">
        <v>180</v>
      </c>
      <c r="G358" t="s">
        <v>18</v>
      </c>
      <c r="I358" t="s">
        <v>36</v>
      </c>
    </row>
    <row r="359" spans="1:9" x14ac:dyDescent="0.35">
      <c r="A359" t="s">
        <v>44</v>
      </c>
      <c r="B359" t="s">
        <v>45</v>
      </c>
      <c r="C359" t="s">
        <v>43</v>
      </c>
      <c r="D359">
        <v>28.4</v>
      </c>
      <c r="E359" t="s">
        <v>46</v>
      </c>
      <c r="F359" t="s">
        <v>180</v>
      </c>
      <c r="G359" t="s">
        <v>18</v>
      </c>
      <c r="I359" t="s">
        <v>36</v>
      </c>
    </row>
    <row r="360" spans="1:9" x14ac:dyDescent="0.35">
      <c r="A360" t="s">
        <v>51</v>
      </c>
      <c r="B360" t="s">
        <v>52</v>
      </c>
      <c r="C360" t="s">
        <v>53</v>
      </c>
      <c r="D360">
        <v>1.8499999999999999E-2</v>
      </c>
      <c r="E360" t="s">
        <v>4</v>
      </c>
      <c r="F360" t="s">
        <v>180</v>
      </c>
      <c r="G360" t="s">
        <v>18</v>
      </c>
      <c r="I360" t="s">
        <v>32</v>
      </c>
    </row>
    <row r="361" spans="1:9" x14ac:dyDescent="0.35">
      <c r="A361" t="s">
        <v>182</v>
      </c>
      <c r="B361" t="s">
        <v>55</v>
      </c>
      <c r="C361" t="s">
        <v>56</v>
      </c>
      <c r="D361">
        <v>-0.22500000000000001</v>
      </c>
      <c r="E361" t="s">
        <v>4</v>
      </c>
      <c r="F361" t="s">
        <v>180</v>
      </c>
      <c r="G361" t="s">
        <v>18</v>
      </c>
      <c r="I361" t="s">
        <v>32</v>
      </c>
    </row>
    <row r="362" spans="1:9" x14ac:dyDescent="0.35">
      <c r="A362" t="s">
        <v>58</v>
      </c>
      <c r="C362" t="s">
        <v>56</v>
      </c>
      <c r="D362">
        <v>0.125</v>
      </c>
      <c r="F362" t="s">
        <v>181</v>
      </c>
      <c r="G362" t="s">
        <v>59</v>
      </c>
      <c r="H362" t="s">
        <v>60</v>
      </c>
      <c r="I362" t="s">
        <v>61</v>
      </c>
    </row>
    <row r="363" spans="1:9" x14ac:dyDescent="0.35">
      <c r="A363" t="s">
        <v>62</v>
      </c>
      <c r="C363" t="s">
        <v>53</v>
      </c>
      <c r="D363">
        <v>3.7600000000000001E-2</v>
      </c>
      <c r="F363" t="s">
        <v>181</v>
      </c>
      <c r="G363" t="s">
        <v>59</v>
      </c>
      <c r="H363" t="s">
        <v>60</v>
      </c>
      <c r="I363" t="s">
        <v>32</v>
      </c>
    </row>
    <row r="364" spans="1:9" x14ac:dyDescent="0.35">
      <c r="A364" t="s">
        <v>63</v>
      </c>
      <c r="C364" t="s">
        <v>53</v>
      </c>
      <c r="D364">
        <v>0</v>
      </c>
      <c r="F364" t="s">
        <v>181</v>
      </c>
      <c r="G364" t="s">
        <v>59</v>
      </c>
      <c r="H364" t="s">
        <v>60</v>
      </c>
      <c r="I364" t="s">
        <v>32</v>
      </c>
    </row>
    <row r="365" spans="1:9" x14ac:dyDescent="0.35">
      <c r="A365" t="s">
        <v>64</v>
      </c>
      <c r="C365" t="s">
        <v>53</v>
      </c>
      <c r="D365" s="10">
        <f>0.000198*1000</f>
        <v>0.19799999999999998</v>
      </c>
      <c r="F365" t="s">
        <v>181</v>
      </c>
      <c r="G365" t="s">
        <v>59</v>
      </c>
      <c r="H365" t="s">
        <v>60</v>
      </c>
      <c r="I365" t="s">
        <v>32</v>
      </c>
    </row>
    <row r="366" spans="1:9" x14ac:dyDescent="0.35">
      <c r="A366" t="s">
        <v>65</v>
      </c>
      <c r="C366" t="s">
        <v>53</v>
      </c>
      <c r="D366">
        <v>0.52600000000000002</v>
      </c>
      <c r="F366" t="s">
        <v>181</v>
      </c>
      <c r="G366" t="s">
        <v>59</v>
      </c>
      <c r="H366" t="s">
        <v>60</v>
      </c>
      <c r="I366" t="s">
        <v>32</v>
      </c>
    </row>
    <row r="367" spans="1:9" x14ac:dyDescent="0.35">
      <c r="A367" t="s">
        <v>66</v>
      </c>
      <c r="C367" t="s">
        <v>53</v>
      </c>
      <c r="D367">
        <v>0</v>
      </c>
      <c r="F367" t="s">
        <v>181</v>
      </c>
      <c r="G367" t="s">
        <v>59</v>
      </c>
      <c r="H367" t="s">
        <v>60</v>
      </c>
      <c r="I367" t="s">
        <v>32</v>
      </c>
    </row>
    <row r="368" spans="1:9" x14ac:dyDescent="0.35">
      <c r="A368" t="s">
        <v>184</v>
      </c>
      <c r="C368" t="s">
        <v>53</v>
      </c>
      <c r="D368">
        <v>0.47600000000000003</v>
      </c>
      <c r="F368" t="s">
        <v>181</v>
      </c>
      <c r="G368" t="s">
        <v>59</v>
      </c>
      <c r="H368" t="s">
        <v>60</v>
      </c>
      <c r="I368" t="s">
        <v>32</v>
      </c>
    </row>
    <row r="369" spans="1:9" x14ac:dyDescent="0.35">
      <c r="A369" t="s">
        <v>172</v>
      </c>
      <c r="B369" t="s">
        <v>141</v>
      </c>
      <c r="C369" t="s">
        <v>53</v>
      </c>
      <c r="D369">
        <v>0.29528799999999999</v>
      </c>
      <c r="E369" t="s">
        <v>144</v>
      </c>
      <c r="F369" t="s">
        <v>180</v>
      </c>
      <c r="G369" t="s">
        <v>67</v>
      </c>
    </row>
    <row r="370" spans="1:9" x14ac:dyDescent="0.35">
      <c r="A370" t="s">
        <v>173</v>
      </c>
      <c r="B370" t="s">
        <v>142</v>
      </c>
      <c r="C370" t="s">
        <v>53</v>
      </c>
      <c r="D370">
        <v>0.168736</v>
      </c>
      <c r="E370" t="s">
        <v>144</v>
      </c>
      <c r="F370" t="s">
        <v>180</v>
      </c>
      <c r="G370" t="s">
        <v>67</v>
      </c>
    </row>
    <row r="371" spans="1:9" x14ac:dyDescent="0.35">
      <c r="A371" t="s">
        <v>185</v>
      </c>
      <c r="B371" t="s">
        <v>143</v>
      </c>
      <c r="C371" t="s">
        <v>53</v>
      </c>
      <c r="D371">
        <v>0.253104</v>
      </c>
      <c r="E371" t="s">
        <v>144</v>
      </c>
      <c r="F371" t="s">
        <v>180</v>
      </c>
      <c r="G371" t="s">
        <v>67</v>
      </c>
    </row>
    <row r="374" spans="1:9" x14ac:dyDescent="0.35">
      <c r="A374" t="s">
        <v>1</v>
      </c>
      <c r="B374" t="s">
        <v>343</v>
      </c>
    </row>
    <row r="375" spans="1:9" x14ac:dyDescent="0.35">
      <c r="A375" t="s">
        <v>2</v>
      </c>
      <c r="B375" t="s">
        <v>256</v>
      </c>
    </row>
    <row r="376" spans="1:9" x14ac:dyDescent="0.35">
      <c r="A376" t="s">
        <v>3</v>
      </c>
      <c r="B376" t="s">
        <v>4</v>
      </c>
    </row>
    <row r="377" spans="1:9" x14ac:dyDescent="0.35">
      <c r="A377" t="s">
        <v>5</v>
      </c>
      <c r="B377">
        <v>1</v>
      </c>
    </row>
    <row r="378" spans="1:9" x14ac:dyDescent="0.35">
      <c r="A378" t="s">
        <v>6</v>
      </c>
      <c r="B378" t="s">
        <v>7</v>
      </c>
    </row>
    <row r="380" spans="1:9" x14ac:dyDescent="0.35">
      <c r="A380" t="s">
        <v>8</v>
      </c>
    </row>
    <row r="381" spans="1:9" x14ac:dyDescent="0.35">
      <c r="A381" t="s">
        <v>9</v>
      </c>
      <c r="B381" t="s">
        <v>10</v>
      </c>
      <c r="C381" t="s">
        <v>6</v>
      </c>
      <c r="D381" t="s">
        <v>11</v>
      </c>
      <c r="E381" t="s">
        <v>3</v>
      </c>
      <c r="F381" t="s">
        <v>12</v>
      </c>
      <c r="G381" t="s">
        <v>13</v>
      </c>
      <c r="H381" t="s">
        <v>14</v>
      </c>
      <c r="I381" t="s">
        <v>2</v>
      </c>
    </row>
    <row r="382" spans="1:9" x14ac:dyDescent="0.35">
      <c r="A382" t="str">
        <f>B374</f>
        <v>AD_city_high</v>
      </c>
      <c r="B382" t="s">
        <v>15</v>
      </c>
      <c r="C382" t="s">
        <v>7</v>
      </c>
      <c r="D382">
        <v>1</v>
      </c>
      <c r="E382" t="s">
        <v>4</v>
      </c>
      <c r="F382" t="s">
        <v>333</v>
      </c>
      <c r="G382" t="s">
        <v>16</v>
      </c>
    </row>
    <row r="383" spans="1:9" x14ac:dyDescent="0.35">
      <c r="A383" t="s">
        <v>33</v>
      </c>
      <c r="B383" t="s">
        <v>34</v>
      </c>
      <c r="C383" t="s">
        <v>35</v>
      </c>
      <c r="D383">
        <v>2.1350000000000002</v>
      </c>
      <c r="E383" t="s">
        <v>4</v>
      </c>
      <c r="F383" t="s">
        <v>180</v>
      </c>
      <c r="G383" t="s">
        <v>18</v>
      </c>
    </row>
    <row r="384" spans="1:9" x14ac:dyDescent="0.35">
      <c r="A384" t="s">
        <v>70</v>
      </c>
      <c r="B384" t="s">
        <v>71</v>
      </c>
      <c r="C384" t="s">
        <v>72</v>
      </c>
      <c r="D384">
        <v>241.60000000000002</v>
      </c>
      <c r="E384" t="s">
        <v>49</v>
      </c>
      <c r="F384" t="s">
        <v>180</v>
      </c>
      <c r="G384" t="s">
        <v>18</v>
      </c>
    </row>
    <row r="385" spans="1:9" x14ac:dyDescent="0.35">
      <c r="A385" t="s">
        <v>37</v>
      </c>
      <c r="B385" t="s">
        <v>38</v>
      </c>
      <c r="C385" t="s">
        <v>39</v>
      </c>
      <c r="D385">
        <v>0.352112676056338</v>
      </c>
      <c r="E385" t="s">
        <v>40</v>
      </c>
      <c r="F385" t="s">
        <v>180</v>
      </c>
      <c r="G385" t="s">
        <v>18</v>
      </c>
    </row>
    <row r="386" spans="1:9" x14ac:dyDescent="0.35">
      <c r="A386" t="s">
        <v>73</v>
      </c>
      <c r="B386" t="s">
        <v>74</v>
      </c>
      <c r="C386" t="s">
        <v>53</v>
      </c>
      <c r="D386">
        <v>225</v>
      </c>
      <c r="E386" t="s">
        <v>69</v>
      </c>
      <c r="F386" t="s">
        <v>180</v>
      </c>
      <c r="G386" t="s">
        <v>18</v>
      </c>
    </row>
    <row r="387" spans="1:9" x14ac:dyDescent="0.35">
      <c r="A387" t="s">
        <v>44</v>
      </c>
      <c r="B387" t="s">
        <v>45</v>
      </c>
      <c r="C387" t="s">
        <v>43</v>
      </c>
      <c r="D387">
        <v>0</v>
      </c>
      <c r="E387" t="s">
        <v>46</v>
      </c>
      <c r="F387" t="s">
        <v>180</v>
      </c>
      <c r="G387" t="s">
        <v>18</v>
      </c>
    </row>
    <row r="388" spans="1:9" x14ac:dyDescent="0.35">
      <c r="A388" t="s">
        <v>62</v>
      </c>
      <c r="C388" t="s">
        <v>53</v>
      </c>
      <c r="D388">
        <v>0.14559999999999998</v>
      </c>
      <c r="F388" t="s">
        <v>181</v>
      </c>
      <c r="G388" t="s">
        <v>59</v>
      </c>
      <c r="H388" t="s">
        <v>60</v>
      </c>
    </row>
    <row r="389" spans="1:9" x14ac:dyDescent="0.35">
      <c r="A389" t="s">
        <v>63</v>
      </c>
      <c r="C389" t="s">
        <v>53</v>
      </c>
      <c r="D389">
        <v>0</v>
      </c>
      <c r="F389" t="s">
        <v>181</v>
      </c>
      <c r="G389" t="s">
        <v>59</v>
      </c>
      <c r="H389" t="s">
        <v>60</v>
      </c>
    </row>
    <row r="390" spans="1:9" x14ac:dyDescent="0.35">
      <c r="A390" t="s">
        <v>64</v>
      </c>
      <c r="C390" t="s">
        <v>53</v>
      </c>
      <c r="D390">
        <f>0.1/60000*1000</f>
        <v>1.6666666666666666E-3</v>
      </c>
      <c r="F390" t="s">
        <v>181</v>
      </c>
      <c r="G390" t="s">
        <v>59</v>
      </c>
      <c r="H390" t="s">
        <v>60</v>
      </c>
    </row>
    <row r="391" spans="1:9" x14ac:dyDescent="0.35">
      <c r="A391" t="s">
        <v>65</v>
      </c>
      <c r="C391" t="s">
        <v>53</v>
      </c>
      <c r="D391">
        <v>8.9599999999999999E-2</v>
      </c>
      <c r="F391" t="s">
        <v>181</v>
      </c>
      <c r="G391" t="s">
        <v>59</v>
      </c>
      <c r="H391" t="s">
        <v>60</v>
      </c>
    </row>
    <row r="392" spans="1:9" x14ac:dyDescent="0.35">
      <c r="A392" t="s">
        <v>66</v>
      </c>
      <c r="C392" t="s">
        <v>53</v>
      </c>
      <c r="D392">
        <f>D390</f>
        <v>1.6666666666666666E-3</v>
      </c>
      <c r="F392" t="s">
        <v>181</v>
      </c>
      <c r="G392" t="s">
        <v>59</v>
      </c>
      <c r="H392" t="s">
        <v>60</v>
      </c>
    </row>
    <row r="393" spans="1:9" x14ac:dyDescent="0.35">
      <c r="A393" t="s">
        <v>184</v>
      </c>
      <c r="C393" t="s">
        <v>53</v>
      </c>
      <c r="D393">
        <v>0.42599999999999999</v>
      </c>
      <c r="F393" t="s">
        <v>181</v>
      </c>
      <c r="G393" t="s">
        <v>59</v>
      </c>
      <c r="H393" t="s">
        <v>60</v>
      </c>
    </row>
    <row r="394" spans="1:9" x14ac:dyDescent="0.35">
      <c r="A394" t="s">
        <v>75</v>
      </c>
      <c r="C394" t="s">
        <v>53</v>
      </c>
      <c r="D394">
        <v>2.97E-3</v>
      </c>
      <c r="F394" t="s">
        <v>181</v>
      </c>
      <c r="G394" t="s">
        <v>59</v>
      </c>
      <c r="H394" t="s">
        <v>60</v>
      </c>
    </row>
    <row r="395" spans="1:9" x14ac:dyDescent="0.35">
      <c r="A395" t="s">
        <v>76</v>
      </c>
      <c r="C395" t="s">
        <v>53</v>
      </c>
      <c r="D395">
        <v>9.2799999999999992E-5</v>
      </c>
      <c r="F395" t="s">
        <v>181</v>
      </c>
      <c r="G395" t="s">
        <v>59</v>
      </c>
      <c r="H395" t="s">
        <v>58</v>
      </c>
    </row>
    <row r="396" spans="1:9" x14ac:dyDescent="0.35">
      <c r="A396" t="s">
        <v>77</v>
      </c>
      <c r="C396" t="s">
        <v>53</v>
      </c>
      <c r="D396">
        <v>1.0899999999999999E-4</v>
      </c>
      <c r="F396" t="s">
        <v>181</v>
      </c>
      <c r="G396" t="s">
        <v>59</v>
      </c>
      <c r="H396" t="s">
        <v>58</v>
      </c>
    </row>
    <row r="397" spans="1:9" x14ac:dyDescent="0.35">
      <c r="A397" t="s">
        <v>78</v>
      </c>
      <c r="C397" t="s">
        <v>53</v>
      </c>
      <c r="D397">
        <v>7.039999999999999E-5</v>
      </c>
      <c r="F397" t="s">
        <v>181</v>
      </c>
      <c r="G397" t="s">
        <v>59</v>
      </c>
      <c r="H397" t="s">
        <v>60</v>
      </c>
    </row>
    <row r="398" spans="1:9" x14ac:dyDescent="0.35">
      <c r="A398" t="s">
        <v>182</v>
      </c>
      <c r="B398" t="s">
        <v>55</v>
      </c>
      <c r="C398" t="s">
        <v>56</v>
      </c>
      <c r="D398">
        <v>-0.22500000000000001</v>
      </c>
      <c r="E398" t="s">
        <v>4</v>
      </c>
      <c r="F398" t="s">
        <v>180</v>
      </c>
      <c r="G398" t="s">
        <v>18</v>
      </c>
      <c r="I398" t="s">
        <v>32</v>
      </c>
    </row>
    <row r="399" spans="1:9" x14ac:dyDescent="0.35">
      <c r="A399" t="s">
        <v>177</v>
      </c>
      <c r="B399" t="s">
        <v>176</v>
      </c>
      <c r="C399" t="s">
        <v>56</v>
      </c>
      <c r="D399">
        <f>'Natural gas credit'!B15</f>
        <v>31.419429366736257</v>
      </c>
      <c r="E399" t="s">
        <v>183</v>
      </c>
      <c r="F399" t="s">
        <v>180</v>
      </c>
      <c r="G399" t="s">
        <v>67</v>
      </c>
    </row>
    <row r="400" spans="1:9" x14ac:dyDescent="0.35">
      <c r="A400" t="s">
        <v>172</v>
      </c>
      <c r="B400" t="s">
        <v>141</v>
      </c>
      <c r="C400" t="s">
        <v>53</v>
      </c>
      <c r="D400">
        <f>'Fertilizer credit for compost'!A38</f>
        <v>3.1701499999999991</v>
      </c>
      <c r="E400" t="s">
        <v>144</v>
      </c>
      <c r="F400" s="20" t="s">
        <v>180</v>
      </c>
      <c r="G400" t="s">
        <v>67</v>
      </c>
      <c r="I400" t="s">
        <v>204</v>
      </c>
    </row>
    <row r="401" spans="1:9" x14ac:dyDescent="0.35">
      <c r="A401" t="s">
        <v>173</v>
      </c>
      <c r="B401" t="s">
        <v>142</v>
      </c>
      <c r="C401" t="s">
        <v>53</v>
      </c>
      <c r="D401">
        <f>'Fertilizer credit for compost'!A39</f>
        <v>3.348749999999999</v>
      </c>
      <c r="E401" t="s">
        <v>144</v>
      </c>
      <c r="F401" s="20" t="s">
        <v>180</v>
      </c>
      <c r="G401" t="s">
        <v>67</v>
      </c>
    </row>
    <row r="402" spans="1:9" x14ac:dyDescent="0.35">
      <c r="A402" t="s">
        <v>185</v>
      </c>
      <c r="B402" t="s">
        <v>143</v>
      </c>
      <c r="C402" t="s">
        <v>53</v>
      </c>
      <c r="D402">
        <f>'Fertilizer credit for compost'!A40</f>
        <v>0.2902249999999999</v>
      </c>
      <c r="E402" t="s">
        <v>144</v>
      </c>
      <c r="F402" s="20" t="s">
        <v>180</v>
      </c>
      <c r="G402" t="s">
        <v>67</v>
      </c>
    </row>
    <row r="406" spans="1:9" x14ac:dyDescent="0.35">
      <c r="A406" s="3" t="s">
        <v>1</v>
      </c>
      <c r="B406" s="3" t="s">
        <v>351</v>
      </c>
    </row>
    <row r="407" spans="1:9" x14ac:dyDescent="0.35">
      <c r="A407" t="s">
        <v>2</v>
      </c>
      <c r="B407" t="s">
        <v>259</v>
      </c>
    </row>
    <row r="408" spans="1:9" x14ac:dyDescent="0.35">
      <c r="A408" t="s">
        <v>3</v>
      </c>
      <c r="B408" t="s">
        <v>4</v>
      </c>
    </row>
    <row r="409" spans="1:9" x14ac:dyDescent="0.35">
      <c r="A409" t="s">
        <v>5</v>
      </c>
      <c r="B409">
        <v>1</v>
      </c>
    </row>
    <row r="410" spans="1:9" x14ac:dyDescent="0.35">
      <c r="A410" t="s">
        <v>6</v>
      </c>
      <c r="B410" t="s">
        <v>7</v>
      </c>
    </row>
    <row r="412" spans="1:9" x14ac:dyDescent="0.35">
      <c r="A412" s="3" t="s">
        <v>8</v>
      </c>
      <c r="B412" s="3"/>
      <c r="C412" s="3"/>
      <c r="D412" s="3"/>
      <c r="E412" s="3"/>
      <c r="F412" s="3"/>
      <c r="G412" s="3"/>
      <c r="H412" s="3"/>
      <c r="I412" s="3"/>
    </row>
    <row r="413" spans="1:9" x14ac:dyDescent="0.35">
      <c r="A413" s="3" t="s">
        <v>9</v>
      </c>
      <c r="B413" s="3" t="s">
        <v>10</v>
      </c>
      <c r="C413" s="3" t="s">
        <v>6</v>
      </c>
      <c r="D413" s="3" t="s">
        <v>11</v>
      </c>
      <c r="E413" s="3" t="s">
        <v>3</v>
      </c>
      <c r="F413" s="3" t="s">
        <v>12</v>
      </c>
      <c r="G413" s="3" t="s">
        <v>13</v>
      </c>
      <c r="H413" s="3" t="s">
        <v>14</v>
      </c>
      <c r="I413" s="3" t="s">
        <v>2</v>
      </c>
    </row>
    <row r="414" spans="1:9" x14ac:dyDescent="0.35">
      <c r="A414" t="s">
        <v>351</v>
      </c>
      <c r="B414" t="s">
        <v>15</v>
      </c>
      <c r="C414" t="s">
        <v>7</v>
      </c>
      <c r="D414">
        <v>1</v>
      </c>
      <c r="E414" t="s">
        <v>4</v>
      </c>
      <c r="F414" t="s">
        <v>333</v>
      </c>
      <c r="G414" t="s">
        <v>16</v>
      </c>
      <c r="I414" t="s">
        <v>32</v>
      </c>
    </row>
    <row r="415" spans="1:9" x14ac:dyDescent="0.35">
      <c r="A415" t="s">
        <v>33</v>
      </c>
      <c r="B415" t="s">
        <v>34</v>
      </c>
      <c r="C415" t="s">
        <v>35</v>
      </c>
      <c r="D415">
        <v>201.76904702879699</v>
      </c>
      <c r="E415" t="s">
        <v>4</v>
      </c>
      <c r="F415" t="s">
        <v>180</v>
      </c>
      <c r="G415" t="s">
        <v>18</v>
      </c>
      <c r="I415" t="s">
        <v>36</v>
      </c>
    </row>
    <row r="416" spans="1:9" x14ac:dyDescent="0.35">
      <c r="A416" t="s">
        <v>177</v>
      </c>
      <c r="B416" t="s">
        <v>176</v>
      </c>
      <c r="C416" t="s">
        <v>56</v>
      </c>
      <c r="D416">
        <v>6.7461398854140459E-2</v>
      </c>
      <c r="E416" t="s">
        <v>183</v>
      </c>
      <c r="F416" s="20" t="s">
        <v>180</v>
      </c>
      <c r="G416" t="s">
        <v>18</v>
      </c>
      <c r="I416" t="s">
        <v>36</v>
      </c>
    </row>
    <row r="417" spans="1:9" x14ac:dyDescent="0.35">
      <c r="A417" t="s">
        <v>186</v>
      </c>
      <c r="B417" t="s">
        <v>187</v>
      </c>
      <c r="C417" t="s">
        <v>53</v>
      </c>
      <c r="D417">
        <v>1.5480596850885497</v>
      </c>
      <c r="E417" t="s">
        <v>49</v>
      </c>
      <c r="F417" t="s">
        <v>180</v>
      </c>
      <c r="G417" t="s">
        <v>18</v>
      </c>
    </row>
    <row r="418" spans="1:9" x14ac:dyDescent="0.35">
      <c r="A418" t="s">
        <v>44</v>
      </c>
      <c r="B418" t="s">
        <v>45</v>
      </c>
      <c r="C418" t="s">
        <v>43</v>
      </c>
      <c r="D418">
        <v>0</v>
      </c>
      <c r="E418" t="s">
        <v>46</v>
      </c>
      <c r="F418" t="s">
        <v>180</v>
      </c>
      <c r="G418" t="s">
        <v>18</v>
      </c>
      <c r="I418" t="s">
        <v>36</v>
      </c>
    </row>
    <row r="419" spans="1:9" x14ac:dyDescent="0.35">
      <c r="A419" t="s">
        <v>182</v>
      </c>
      <c r="B419" t="s">
        <v>55</v>
      </c>
      <c r="C419" t="s">
        <v>56</v>
      </c>
      <c r="D419">
        <v>-6.2798565389267605E-2</v>
      </c>
      <c r="E419" t="s">
        <v>4</v>
      </c>
      <c r="F419" t="s">
        <v>180</v>
      </c>
      <c r="G419" t="s">
        <v>18</v>
      </c>
      <c r="I419" t="s">
        <v>32</v>
      </c>
    </row>
    <row r="420" spans="1:9" x14ac:dyDescent="0.35">
      <c r="A420" t="s">
        <v>66</v>
      </c>
      <c r="C420" t="s">
        <v>53</v>
      </c>
      <c r="D420">
        <v>1.51</v>
      </c>
      <c r="F420" t="s">
        <v>181</v>
      </c>
      <c r="G420" t="s">
        <v>59</v>
      </c>
      <c r="H420" t="s">
        <v>60</v>
      </c>
    </row>
    <row r="421" spans="1:9" x14ac:dyDescent="0.35">
      <c r="A421" t="s">
        <v>64</v>
      </c>
      <c r="C421" t="s">
        <v>53</v>
      </c>
      <c r="D421">
        <v>0.18</v>
      </c>
      <c r="F421" t="s">
        <v>181</v>
      </c>
      <c r="G421" t="s">
        <v>59</v>
      </c>
      <c r="H421" t="s">
        <v>60</v>
      </c>
      <c r="I421" t="s">
        <v>32</v>
      </c>
    </row>
    <row r="422" spans="1:9" x14ac:dyDescent="0.35">
      <c r="A422" t="s">
        <v>172</v>
      </c>
      <c r="B422" t="s">
        <v>141</v>
      </c>
      <c r="C422" t="s">
        <v>53</v>
      </c>
      <c r="D422">
        <v>4.9209529363445324E-3</v>
      </c>
      <c r="E422" t="s">
        <v>144</v>
      </c>
      <c r="F422" t="s">
        <v>180</v>
      </c>
      <c r="G422" t="s">
        <v>67</v>
      </c>
    </row>
    <row r="423" spans="1:9" x14ac:dyDescent="0.35">
      <c r="A423" t="s">
        <v>173</v>
      </c>
      <c r="B423" t="s">
        <v>142</v>
      </c>
      <c r="C423" t="s">
        <v>53</v>
      </c>
      <c r="D423">
        <v>1.79180580446898</v>
      </c>
      <c r="E423" t="s">
        <v>144</v>
      </c>
      <c r="F423" t="s">
        <v>180</v>
      </c>
      <c r="G423" t="s">
        <v>67</v>
      </c>
    </row>
    <row r="424" spans="1:9" x14ac:dyDescent="0.35">
      <c r="A424" t="s">
        <v>185</v>
      </c>
      <c r="B424" t="s">
        <v>143</v>
      </c>
      <c r="C424" t="s">
        <v>53</v>
      </c>
      <c r="D424">
        <v>2.8107325301120829</v>
      </c>
      <c r="E424" t="s">
        <v>144</v>
      </c>
      <c r="F424" t="s">
        <v>180</v>
      </c>
      <c r="G424" t="s">
        <v>67</v>
      </c>
    </row>
    <row r="425" spans="1:9" x14ac:dyDescent="0.35">
      <c r="A425" t="s">
        <v>262</v>
      </c>
      <c r="B425" t="s">
        <v>261</v>
      </c>
      <c r="C425" t="s">
        <v>53</v>
      </c>
      <c r="D425">
        <v>1.1413074347177683</v>
      </c>
      <c r="E425" t="s">
        <v>49</v>
      </c>
      <c r="F425" t="s">
        <v>180</v>
      </c>
      <c r="G425" t="s">
        <v>18</v>
      </c>
    </row>
    <row r="427" spans="1:9" x14ac:dyDescent="0.35">
      <c r="A427" s="30" t="s">
        <v>1</v>
      </c>
      <c r="B427" s="30" t="s">
        <v>263</v>
      </c>
    </row>
    <row r="428" spans="1:9" x14ac:dyDescent="0.35">
      <c r="A428" t="s">
        <v>2</v>
      </c>
      <c r="B428" t="s">
        <v>259</v>
      </c>
    </row>
    <row r="429" spans="1:9" x14ac:dyDescent="0.35">
      <c r="A429" t="s">
        <v>3</v>
      </c>
      <c r="B429" t="s">
        <v>4</v>
      </c>
    </row>
    <row r="430" spans="1:9" x14ac:dyDescent="0.35">
      <c r="A430" t="s">
        <v>5</v>
      </c>
      <c r="B430">
        <v>1</v>
      </c>
    </row>
    <row r="431" spans="1:9" x14ac:dyDescent="0.35">
      <c r="A431" t="s">
        <v>6</v>
      </c>
      <c r="B431" t="s">
        <v>7</v>
      </c>
    </row>
    <row r="433" spans="1:9" x14ac:dyDescent="0.35">
      <c r="A433" s="3" t="s">
        <v>8</v>
      </c>
      <c r="B433" s="3"/>
      <c r="C433" s="3"/>
      <c r="D433" s="3"/>
      <c r="E433" s="3"/>
      <c r="F433" s="3"/>
      <c r="G433" s="3"/>
      <c r="H433" s="3"/>
      <c r="I433" s="3"/>
    </row>
    <row r="434" spans="1:9" x14ac:dyDescent="0.35">
      <c r="A434" s="3" t="s">
        <v>9</v>
      </c>
      <c r="B434" s="3" t="s">
        <v>10</v>
      </c>
      <c r="C434" s="3" t="s">
        <v>6</v>
      </c>
      <c r="D434" s="3" t="s">
        <v>11</v>
      </c>
      <c r="E434" s="3" t="s">
        <v>3</v>
      </c>
      <c r="F434" s="3" t="s">
        <v>12</v>
      </c>
      <c r="G434" s="3" t="s">
        <v>13</v>
      </c>
      <c r="H434" s="3" t="s">
        <v>14</v>
      </c>
      <c r="I434" s="3" t="s">
        <v>2</v>
      </c>
    </row>
    <row r="435" spans="1:9" x14ac:dyDescent="0.35">
      <c r="A435" t="str">
        <f>B427</f>
        <v>Closed_composter_no_N2O</v>
      </c>
      <c r="B435" t="s">
        <v>15</v>
      </c>
      <c r="C435" t="s">
        <v>7</v>
      </c>
      <c r="D435">
        <v>1</v>
      </c>
      <c r="E435" t="s">
        <v>4</v>
      </c>
      <c r="F435" t="s">
        <v>333</v>
      </c>
      <c r="G435" t="s">
        <v>16</v>
      </c>
      <c r="I435" t="s">
        <v>32</v>
      </c>
    </row>
    <row r="436" spans="1:9" x14ac:dyDescent="0.35">
      <c r="A436" t="s">
        <v>33</v>
      </c>
      <c r="B436" t="s">
        <v>34</v>
      </c>
      <c r="C436" t="s">
        <v>35</v>
      </c>
      <c r="D436">
        <v>121.10967485333597</v>
      </c>
      <c r="E436" t="s">
        <v>4</v>
      </c>
      <c r="F436" t="s">
        <v>180</v>
      </c>
      <c r="G436" t="s">
        <v>18</v>
      </c>
      <c r="I436" t="s">
        <v>36</v>
      </c>
    </row>
    <row r="437" spans="1:9" x14ac:dyDescent="0.35">
      <c r="A437" t="s">
        <v>177</v>
      </c>
      <c r="B437" t="s">
        <v>176</v>
      </c>
      <c r="C437" t="s">
        <v>56</v>
      </c>
      <c r="D437">
        <v>4.3474694242815941</v>
      </c>
      <c r="E437" t="s">
        <v>183</v>
      </c>
      <c r="F437" s="20" t="s">
        <v>180</v>
      </c>
      <c r="G437" t="s">
        <v>18</v>
      </c>
      <c r="I437" t="s">
        <v>36</v>
      </c>
    </row>
    <row r="438" spans="1:9" x14ac:dyDescent="0.35">
      <c r="A438" t="s">
        <v>44</v>
      </c>
      <c r="B438" t="s">
        <v>45</v>
      </c>
      <c r="C438" t="s">
        <v>43</v>
      </c>
      <c r="D438">
        <f>D417</f>
        <v>1.5480596850885497</v>
      </c>
      <c r="E438" t="s">
        <v>46</v>
      </c>
      <c r="F438" t="s">
        <v>180</v>
      </c>
      <c r="G438" t="s">
        <v>18</v>
      </c>
      <c r="I438" t="s">
        <v>36</v>
      </c>
    </row>
    <row r="439" spans="1:9" x14ac:dyDescent="0.35">
      <c r="A439" t="s">
        <v>182</v>
      </c>
      <c r="B439" t="s">
        <v>55</v>
      </c>
      <c r="C439" t="s">
        <v>56</v>
      </c>
      <c r="D439">
        <v>-6.4298001392065193E-2</v>
      </c>
      <c r="E439" t="s">
        <v>4</v>
      </c>
      <c r="F439" t="s">
        <v>180</v>
      </c>
      <c r="G439" t="s">
        <v>18</v>
      </c>
      <c r="I439" t="s">
        <v>32</v>
      </c>
    </row>
    <row r="440" spans="1:9" x14ac:dyDescent="0.35">
      <c r="A440" t="s">
        <v>64</v>
      </c>
      <c r="C440" t="s">
        <v>53</v>
      </c>
      <c r="D440">
        <v>0</v>
      </c>
      <c r="F440" t="s">
        <v>181</v>
      </c>
      <c r="G440" t="s">
        <v>59</v>
      </c>
      <c r="H440" t="s">
        <v>60</v>
      </c>
      <c r="I440" t="s">
        <v>32</v>
      </c>
    </row>
    <row r="441" spans="1:9" x14ac:dyDescent="0.35">
      <c r="A441" t="s">
        <v>172</v>
      </c>
      <c r="B441" t="s">
        <v>141</v>
      </c>
      <c r="C441" t="s">
        <v>53</v>
      </c>
      <c r="D441">
        <v>3.8529443404593806</v>
      </c>
      <c r="E441" t="s">
        <v>144</v>
      </c>
      <c r="F441" t="s">
        <v>180</v>
      </c>
      <c r="G441" t="s">
        <v>67</v>
      </c>
    </row>
    <row r="442" spans="1:9" x14ac:dyDescent="0.35">
      <c r="A442" t="s">
        <v>173</v>
      </c>
      <c r="B442" t="s">
        <v>142</v>
      </c>
      <c r="C442" t="s">
        <v>53</v>
      </c>
      <c r="D442">
        <v>1.0263991070895893</v>
      </c>
      <c r="E442" t="s">
        <v>144</v>
      </c>
      <c r="F442" t="s">
        <v>180</v>
      </c>
      <c r="G442" t="s">
        <v>67</v>
      </c>
    </row>
    <row r="443" spans="1:9" x14ac:dyDescent="0.35">
      <c r="A443" t="s">
        <v>185</v>
      </c>
      <c r="B443" t="s">
        <v>143</v>
      </c>
      <c r="C443" t="s">
        <v>53</v>
      </c>
      <c r="D443">
        <v>1.263260439494879</v>
      </c>
      <c r="E443" t="s">
        <v>144</v>
      </c>
      <c r="F443" t="s">
        <v>180</v>
      </c>
      <c r="G443" t="s">
        <v>67</v>
      </c>
    </row>
    <row r="444" spans="1:9" x14ac:dyDescent="0.35">
      <c r="A444" t="s">
        <v>262</v>
      </c>
      <c r="B444" t="s">
        <v>261</v>
      </c>
      <c r="C444" t="s">
        <v>53</v>
      </c>
      <c r="D444">
        <v>1.3264392960127271</v>
      </c>
      <c r="E444" t="s">
        <v>49</v>
      </c>
      <c r="F444" t="s">
        <v>180</v>
      </c>
      <c r="G444" t="s">
        <v>18</v>
      </c>
    </row>
    <row r="446" spans="1:9" x14ac:dyDescent="0.35">
      <c r="A446" s="1" t="s">
        <v>1</v>
      </c>
      <c r="B446" t="s">
        <v>274</v>
      </c>
      <c r="C446" s="2"/>
      <c r="D446" s="2"/>
      <c r="E446" s="2"/>
      <c r="F446" s="2"/>
      <c r="G446" s="2"/>
      <c r="H446" s="2"/>
      <c r="I446" s="2"/>
    </row>
    <row r="447" spans="1:9" x14ac:dyDescent="0.35">
      <c r="A447" s="3" t="s">
        <v>2</v>
      </c>
      <c r="B447" t="s">
        <v>271</v>
      </c>
    </row>
    <row r="448" spans="1:9" x14ac:dyDescent="0.35">
      <c r="A448" s="4" t="s">
        <v>3</v>
      </c>
      <c r="B448" s="5" t="s">
        <v>4</v>
      </c>
      <c r="C448" s="5"/>
      <c r="D448" s="5"/>
      <c r="E448" s="5"/>
      <c r="F448" s="5"/>
      <c r="G448" s="5"/>
      <c r="H448" s="5"/>
      <c r="I448" s="5"/>
    </row>
    <row r="449" spans="1:9" x14ac:dyDescent="0.35">
      <c r="A449" s="4" t="s">
        <v>5</v>
      </c>
      <c r="B449" s="6">
        <v>1</v>
      </c>
      <c r="C449" s="5"/>
      <c r="D449" s="5"/>
      <c r="E449" s="5"/>
      <c r="F449" s="5"/>
      <c r="G449" s="5"/>
      <c r="H449" s="5"/>
      <c r="I449" s="5"/>
    </row>
    <row r="450" spans="1:9" x14ac:dyDescent="0.35">
      <c r="A450" s="4" t="s">
        <v>6</v>
      </c>
      <c r="B450" s="5" t="s">
        <v>7</v>
      </c>
      <c r="C450" s="5"/>
      <c r="D450" s="5"/>
      <c r="E450" s="5"/>
      <c r="F450" s="5"/>
      <c r="G450" s="5"/>
      <c r="H450" s="5"/>
      <c r="I450" s="5"/>
    </row>
    <row r="452" spans="1:9" x14ac:dyDescent="0.35">
      <c r="A452" s="3" t="s">
        <v>8</v>
      </c>
    </row>
    <row r="453" spans="1:9" x14ac:dyDescent="0.35">
      <c r="A453" s="3" t="s">
        <v>9</v>
      </c>
      <c r="B453" s="3" t="s">
        <v>10</v>
      </c>
      <c r="C453" s="3" t="s">
        <v>6</v>
      </c>
      <c r="D453" s="8" t="s">
        <v>11</v>
      </c>
      <c r="E453" s="3" t="s">
        <v>3</v>
      </c>
      <c r="F453" s="3" t="s">
        <v>12</v>
      </c>
      <c r="G453" s="3" t="s">
        <v>13</v>
      </c>
      <c r="H453" s="3" t="s">
        <v>14</v>
      </c>
      <c r="I453" t="s">
        <v>2</v>
      </c>
    </row>
    <row r="454" spans="1:9" x14ac:dyDescent="0.35">
      <c r="A454" t="str">
        <f>B446</f>
        <v>Landfill_cecile_de_milton_WARM</v>
      </c>
      <c r="B454" t="s">
        <v>15</v>
      </c>
      <c r="C454" t="s">
        <v>7</v>
      </c>
      <c r="D454" s="12">
        <v>1</v>
      </c>
      <c r="E454" t="s">
        <v>4</v>
      </c>
      <c r="F454" t="str">
        <f>$B$1</f>
        <v>SA OWM Facilities</v>
      </c>
      <c r="G454" t="s">
        <v>16</v>
      </c>
    </row>
    <row r="455" spans="1:9" x14ac:dyDescent="0.35">
      <c r="A455" t="s">
        <v>44</v>
      </c>
      <c r="B455" t="s">
        <v>45</v>
      </c>
      <c r="C455" t="s">
        <v>43</v>
      </c>
      <c r="D455" s="13">
        <f>Transportation!B9</f>
        <v>96</v>
      </c>
      <c r="E455" t="s">
        <v>46</v>
      </c>
      <c r="F455" s="20" t="s">
        <v>180</v>
      </c>
      <c r="G455" t="s">
        <v>18</v>
      </c>
    </row>
    <row r="456" spans="1:9" x14ac:dyDescent="0.35">
      <c r="A456" t="s">
        <v>186</v>
      </c>
      <c r="B456" t="s">
        <v>187</v>
      </c>
      <c r="C456" t="s">
        <v>53</v>
      </c>
      <c r="D456" s="10">
        <v>5.276331364752</v>
      </c>
      <c r="E456" t="s">
        <v>49</v>
      </c>
      <c r="F456" s="20" t="s">
        <v>180</v>
      </c>
      <c r="G456" t="s">
        <v>18</v>
      </c>
      <c r="I456" t="s">
        <v>36</v>
      </c>
    </row>
    <row r="457" spans="1:9" x14ac:dyDescent="0.35">
      <c r="A457" t="s">
        <v>131</v>
      </c>
      <c r="C457" t="s">
        <v>53</v>
      </c>
      <c r="D457" s="2">
        <v>73.246092677999997</v>
      </c>
      <c r="F457" s="20" t="s">
        <v>181</v>
      </c>
      <c r="G457" t="s">
        <v>59</v>
      </c>
      <c r="H457" t="s">
        <v>175</v>
      </c>
    </row>
    <row r="458" spans="1:9" x14ac:dyDescent="0.35">
      <c r="A458" t="s">
        <v>66</v>
      </c>
      <c r="C458" t="s">
        <v>53</v>
      </c>
      <c r="D458">
        <v>14.496811506</v>
      </c>
      <c r="F458" s="20" t="s">
        <v>181</v>
      </c>
      <c r="G458" t="s">
        <v>59</v>
      </c>
      <c r="H458" t="s">
        <v>60</v>
      </c>
    </row>
    <row r="459" spans="1:9" x14ac:dyDescent="0.35">
      <c r="A459" t="s">
        <v>33</v>
      </c>
      <c r="B459" t="s">
        <v>34</v>
      </c>
      <c r="C459" t="s">
        <v>35</v>
      </c>
      <c r="D459" s="2">
        <v>80.908165582352993</v>
      </c>
      <c r="E459" t="s">
        <v>4</v>
      </c>
      <c r="F459" s="20" t="s">
        <v>180</v>
      </c>
      <c r="G459" t="s">
        <v>67</v>
      </c>
    </row>
    <row r="463" spans="1:9" x14ac:dyDescent="0.35">
      <c r="A463" s="1" t="s">
        <v>1</v>
      </c>
      <c r="B463" t="s">
        <v>273</v>
      </c>
      <c r="C463" s="2"/>
      <c r="D463" s="2"/>
      <c r="E463" s="2"/>
      <c r="F463" s="2"/>
      <c r="G463" s="2"/>
      <c r="H463" s="2"/>
      <c r="I463" s="2"/>
    </row>
    <row r="464" spans="1:9" x14ac:dyDescent="0.35">
      <c r="A464" s="3" t="s">
        <v>2</v>
      </c>
      <c r="B464" t="s">
        <v>271</v>
      </c>
    </row>
    <row r="465" spans="1:9" x14ac:dyDescent="0.35">
      <c r="A465" s="4" t="s">
        <v>3</v>
      </c>
      <c r="B465" s="5" t="s">
        <v>4</v>
      </c>
      <c r="C465" s="5"/>
      <c r="D465" s="5"/>
      <c r="E465" s="5"/>
      <c r="F465" s="5"/>
      <c r="G465" s="5"/>
      <c r="H465" s="5"/>
      <c r="I465" s="5"/>
    </row>
    <row r="466" spans="1:9" x14ac:dyDescent="0.35">
      <c r="A466" s="4" t="s">
        <v>5</v>
      </c>
      <c r="B466" s="6">
        <v>1</v>
      </c>
      <c r="C466" s="5"/>
      <c r="D466" s="5"/>
      <c r="E466" s="5"/>
      <c r="F466" s="5"/>
      <c r="G466" s="5"/>
      <c r="H466" s="5"/>
      <c r="I466" s="5"/>
    </row>
    <row r="467" spans="1:9" x14ac:dyDescent="0.35">
      <c r="A467" s="4" t="s">
        <v>6</v>
      </c>
      <c r="B467" s="5" t="s">
        <v>7</v>
      </c>
      <c r="C467" s="5"/>
      <c r="D467" s="5"/>
      <c r="E467" s="5"/>
      <c r="F467" s="5"/>
      <c r="G467" s="5"/>
      <c r="H467" s="5"/>
      <c r="I467" s="5"/>
    </row>
    <row r="469" spans="1:9" x14ac:dyDescent="0.35">
      <c r="A469" s="3" t="s">
        <v>8</v>
      </c>
    </row>
    <row r="470" spans="1:9" x14ac:dyDescent="0.35">
      <c r="A470" s="3" t="s">
        <v>9</v>
      </c>
      <c r="B470" s="3" t="s">
        <v>10</v>
      </c>
      <c r="C470" s="3" t="s">
        <v>6</v>
      </c>
      <c r="D470" s="8" t="s">
        <v>11</v>
      </c>
      <c r="E470" s="3" t="s">
        <v>3</v>
      </c>
      <c r="F470" s="3" t="s">
        <v>12</v>
      </c>
      <c r="G470" s="3" t="s">
        <v>13</v>
      </c>
      <c r="H470" s="3" t="s">
        <v>14</v>
      </c>
      <c r="I470" t="s">
        <v>2</v>
      </c>
    </row>
    <row r="471" spans="1:9" x14ac:dyDescent="0.35">
      <c r="A471" t="str">
        <f>B463</f>
        <v>Landfill_st-nicephore_WARM</v>
      </c>
      <c r="B471" t="s">
        <v>15</v>
      </c>
      <c r="C471" t="s">
        <v>7</v>
      </c>
      <c r="D471" s="12">
        <v>1</v>
      </c>
      <c r="E471" t="s">
        <v>4</v>
      </c>
      <c r="F471" t="str">
        <f>$B$1</f>
        <v>SA OWM Facilities</v>
      </c>
      <c r="G471" t="s">
        <v>16</v>
      </c>
    </row>
    <row r="472" spans="1:9" x14ac:dyDescent="0.35">
      <c r="A472" t="s">
        <v>44</v>
      </c>
      <c r="B472" t="s">
        <v>45</v>
      </c>
      <c r="C472" t="s">
        <v>43</v>
      </c>
      <c r="D472" s="13">
        <f>Transportation!B8</f>
        <v>123</v>
      </c>
      <c r="E472" t="s">
        <v>46</v>
      </c>
      <c r="F472" s="20" t="s">
        <v>180</v>
      </c>
      <c r="G472" t="s">
        <v>18</v>
      </c>
    </row>
    <row r="473" spans="1:9" x14ac:dyDescent="0.35">
      <c r="A473" t="s">
        <v>186</v>
      </c>
      <c r="B473" t="s">
        <v>187</v>
      </c>
      <c r="C473" t="s">
        <v>53</v>
      </c>
      <c r="D473" s="10">
        <v>5.276331364752</v>
      </c>
      <c r="E473" t="s">
        <v>49</v>
      </c>
      <c r="F473" s="20" t="s">
        <v>180</v>
      </c>
      <c r="G473" t="s">
        <v>18</v>
      </c>
      <c r="I473" t="s">
        <v>36</v>
      </c>
    </row>
    <row r="474" spans="1:9" x14ac:dyDescent="0.35">
      <c r="A474" t="s">
        <v>131</v>
      </c>
      <c r="C474" t="s">
        <v>53</v>
      </c>
      <c r="D474" s="2">
        <v>73.246092677999997</v>
      </c>
      <c r="F474" s="20" t="s">
        <v>181</v>
      </c>
      <c r="G474" t="s">
        <v>59</v>
      </c>
      <c r="H474" t="s">
        <v>175</v>
      </c>
    </row>
    <row r="475" spans="1:9" x14ac:dyDescent="0.35">
      <c r="A475" t="s">
        <v>66</v>
      </c>
      <c r="C475" t="s">
        <v>53</v>
      </c>
      <c r="D475">
        <v>14.496811506</v>
      </c>
      <c r="F475" s="20" t="s">
        <v>181</v>
      </c>
      <c r="G475" t="s">
        <v>59</v>
      </c>
      <c r="H475" t="s">
        <v>60</v>
      </c>
    </row>
    <row r="476" spans="1:9" x14ac:dyDescent="0.35">
      <c r="A476" t="s">
        <v>33</v>
      </c>
      <c r="B476" t="s">
        <v>34</v>
      </c>
      <c r="C476" t="s">
        <v>35</v>
      </c>
      <c r="D476" s="2">
        <v>80.908165582352993</v>
      </c>
      <c r="E476" t="s">
        <v>4</v>
      </c>
      <c r="F476" s="20" t="s">
        <v>180</v>
      </c>
      <c r="G476" t="s">
        <v>67</v>
      </c>
    </row>
    <row r="480" spans="1:9" x14ac:dyDescent="0.35">
      <c r="A480" s="1" t="s">
        <v>1</v>
      </c>
      <c r="B480" t="s">
        <v>272</v>
      </c>
      <c r="C480" s="2"/>
      <c r="D480" s="2"/>
      <c r="E480" s="2"/>
      <c r="F480" s="2"/>
      <c r="G480" s="2"/>
      <c r="H480" s="2"/>
      <c r="I480" s="2"/>
    </row>
    <row r="481" spans="1:9" x14ac:dyDescent="0.35">
      <c r="A481" s="3" t="s">
        <v>2</v>
      </c>
      <c r="B481" t="s">
        <v>271</v>
      </c>
    </row>
    <row r="482" spans="1:9" x14ac:dyDescent="0.35">
      <c r="A482" s="4" t="s">
        <v>3</v>
      </c>
      <c r="B482" s="5" t="s">
        <v>4</v>
      </c>
      <c r="C482" s="5"/>
      <c r="D482" s="5"/>
      <c r="E482" s="5"/>
      <c r="F482" s="5"/>
      <c r="G482" s="5"/>
      <c r="H482" s="5"/>
      <c r="I482" s="5"/>
    </row>
    <row r="483" spans="1:9" x14ac:dyDescent="0.35">
      <c r="A483" s="4" t="s">
        <v>5</v>
      </c>
      <c r="B483" s="6">
        <v>1</v>
      </c>
      <c r="C483" s="5"/>
      <c r="D483" s="5"/>
      <c r="E483" s="5"/>
      <c r="F483" s="5"/>
      <c r="G483" s="5"/>
      <c r="H483" s="5"/>
      <c r="I483" s="5"/>
    </row>
    <row r="484" spans="1:9" x14ac:dyDescent="0.35">
      <c r="A484" s="4" t="s">
        <v>6</v>
      </c>
      <c r="B484" s="5" t="s">
        <v>7</v>
      </c>
      <c r="C484" s="5"/>
      <c r="D484" s="5"/>
      <c r="E484" s="5"/>
      <c r="F484" s="5"/>
      <c r="G484" s="5"/>
      <c r="H484" s="5"/>
      <c r="I484" s="5"/>
    </row>
    <row r="486" spans="1:9" x14ac:dyDescent="0.35">
      <c r="A486" s="3" t="s">
        <v>8</v>
      </c>
    </row>
    <row r="487" spans="1:9" x14ac:dyDescent="0.35">
      <c r="A487" s="3" t="s">
        <v>9</v>
      </c>
      <c r="B487" s="3" t="s">
        <v>10</v>
      </c>
      <c r="C487" s="3" t="s">
        <v>6</v>
      </c>
      <c r="D487" s="8" t="s">
        <v>11</v>
      </c>
      <c r="E487" s="3" t="s">
        <v>3</v>
      </c>
      <c r="F487" s="3" t="s">
        <v>12</v>
      </c>
      <c r="G487" s="3" t="s">
        <v>13</v>
      </c>
      <c r="H487" s="3" t="s">
        <v>14</v>
      </c>
      <c r="I487" t="s">
        <v>2</v>
      </c>
    </row>
    <row r="488" spans="1:9" x14ac:dyDescent="0.35">
      <c r="A488" t="str">
        <f>B480</f>
        <v>Landfill_lachute_WARM</v>
      </c>
      <c r="B488" t="s">
        <v>15</v>
      </c>
      <c r="C488" t="s">
        <v>7</v>
      </c>
      <c r="D488" s="12">
        <v>1</v>
      </c>
      <c r="E488" t="s">
        <v>4</v>
      </c>
      <c r="F488" t="str">
        <f>$B$1</f>
        <v>SA OWM Facilities</v>
      </c>
      <c r="G488" t="s">
        <v>16</v>
      </c>
    </row>
    <row r="489" spans="1:9" x14ac:dyDescent="0.35">
      <c r="A489" t="s">
        <v>44</v>
      </c>
      <c r="B489" t="s">
        <v>45</v>
      </c>
      <c r="C489" t="s">
        <v>43</v>
      </c>
      <c r="D489" s="13">
        <f>Transportation!B7</f>
        <v>77.400000000000006</v>
      </c>
      <c r="E489" t="s">
        <v>46</v>
      </c>
      <c r="F489" s="20" t="s">
        <v>180</v>
      </c>
      <c r="G489" t="s">
        <v>18</v>
      </c>
    </row>
    <row r="490" spans="1:9" x14ac:dyDescent="0.35">
      <c r="A490" t="s">
        <v>186</v>
      </c>
      <c r="B490" t="s">
        <v>187</v>
      </c>
      <c r="C490" t="s">
        <v>53</v>
      </c>
      <c r="D490">
        <v>5.276331364752</v>
      </c>
      <c r="E490" t="s">
        <v>49</v>
      </c>
      <c r="F490" s="20" t="s">
        <v>180</v>
      </c>
      <c r="G490" t="s">
        <v>18</v>
      </c>
      <c r="I490" t="s">
        <v>36</v>
      </c>
    </row>
    <row r="491" spans="1:9" x14ac:dyDescent="0.35">
      <c r="A491" t="s">
        <v>131</v>
      </c>
      <c r="C491" t="s">
        <v>53</v>
      </c>
      <c r="D491" s="13">
        <v>73.246092677999997</v>
      </c>
      <c r="F491" s="20" t="s">
        <v>181</v>
      </c>
      <c r="G491" t="s">
        <v>59</v>
      </c>
      <c r="H491" t="s">
        <v>175</v>
      </c>
    </row>
    <row r="492" spans="1:9" x14ac:dyDescent="0.35">
      <c r="A492" t="s">
        <v>66</v>
      </c>
      <c r="C492" t="s">
        <v>53</v>
      </c>
      <c r="D492">
        <v>14.496811506</v>
      </c>
      <c r="F492" s="20" t="s">
        <v>181</v>
      </c>
      <c r="G492" t="s">
        <v>59</v>
      </c>
      <c r="H492" t="s">
        <v>60</v>
      </c>
    </row>
    <row r="493" spans="1:9" x14ac:dyDescent="0.35">
      <c r="A493" t="s">
        <v>33</v>
      </c>
      <c r="B493" t="s">
        <v>34</v>
      </c>
      <c r="C493" t="s">
        <v>35</v>
      </c>
      <c r="D493">
        <v>80.908165582352993</v>
      </c>
      <c r="E493" t="s">
        <v>4</v>
      </c>
      <c r="F493" s="20" t="s">
        <v>180</v>
      </c>
      <c r="G493" t="str">
        <f>G476</f>
        <v>substitution</v>
      </c>
    </row>
    <row r="496" spans="1:9" x14ac:dyDescent="0.35">
      <c r="A496" s="1" t="s">
        <v>1</v>
      </c>
      <c r="B496" t="s">
        <v>275</v>
      </c>
      <c r="C496" s="2"/>
      <c r="D496" s="2"/>
      <c r="E496" s="2"/>
      <c r="F496" s="2"/>
      <c r="G496" s="2"/>
      <c r="H496" s="2"/>
      <c r="I496" s="2"/>
    </row>
    <row r="497" spans="1:9" x14ac:dyDescent="0.35">
      <c r="A497" s="3" t="s">
        <v>2</v>
      </c>
      <c r="B497" t="s">
        <v>270</v>
      </c>
    </row>
    <row r="498" spans="1:9" x14ac:dyDescent="0.35">
      <c r="A498" s="4" t="s">
        <v>3</v>
      </c>
      <c r="B498" s="5" t="s">
        <v>4</v>
      </c>
      <c r="C498" s="5"/>
      <c r="D498" s="5"/>
      <c r="E498" s="5"/>
      <c r="F498" s="5"/>
      <c r="G498" s="5"/>
      <c r="H498" s="5"/>
      <c r="I498" s="5"/>
    </row>
    <row r="499" spans="1:9" x14ac:dyDescent="0.35">
      <c r="A499" s="4" t="s">
        <v>5</v>
      </c>
      <c r="B499" s="6">
        <v>1</v>
      </c>
      <c r="C499" s="5"/>
      <c r="D499" s="5"/>
      <c r="E499" s="5"/>
      <c r="F499" s="5"/>
      <c r="G499" s="5"/>
      <c r="H499" s="5"/>
      <c r="I499" s="5"/>
    </row>
    <row r="500" spans="1:9" x14ac:dyDescent="0.35">
      <c r="A500" s="4" t="s">
        <v>6</v>
      </c>
      <c r="B500" s="5" t="s">
        <v>7</v>
      </c>
      <c r="C500" s="5"/>
      <c r="D500" s="5"/>
      <c r="E500" s="5"/>
      <c r="F500" s="5"/>
      <c r="G500" s="5"/>
      <c r="H500" s="5"/>
      <c r="I500" s="5"/>
    </row>
    <row r="502" spans="1:9" x14ac:dyDescent="0.35">
      <c r="A502" s="3" t="s">
        <v>8</v>
      </c>
    </row>
    <row r="503" spans="1:9" x14ac:dyDescent="0.35">
      <c r="A503" s="3" t="s">
        <v>9</v>
      </c>
      <c r="B503" s="3" t="s">
        <v>10</v>
      </c>
      <c r="C503" s="3" t="s">
        <v>6</v>
      </c>
      <c r="D503" s="8" t="s">
        <v>11</v>
      </c>
      <c r="E503" s="3" t="s">
        <v>3</v>
      </c>
      <c r="F503" s="3" t="s">
        <v>12</v>
      </c>
      <c r="G503" s="3" t="s">
        <v>13</v>
      </c>
      <c r="H503" s="3" t="s">
        <v>14</v>
      </c>
      <c r="I503" t="s">
        <v>2</v>
      </c>
    </row>
    <row r="504" spans="1:9" x14ac:dyDescent="0.35">
      <c r="A504" t="str">
        <f>B496</f>
        <v>Landfill_saint_thomas_WARM</v>
      </c>
      <c r="B504" t="s">
        <v>15</v>
      </c>
      <c r="C504" t="s">
        <v>7</v>
      </c>
      <c r="D504" s="12">
        <v>1</v>
      </c>
      <c r="E504" t="s">
        <v>4</v>
      </c>
      <c r="F504" t="str">
        <f>$B$1</f>
        <v>SA OWM Facilities</v>
      </c>
      <c r="G504" t="s">
        <v>16</v>
      </c>
    </row>
    <row r="505" spans="1:9" x14ac:dyDescent="0.35">
      <c r="A505" t="s">
        <v>44</v>
      </c>
      <c r="B505" t="s">
        <v>45</v>
      </c>
      <c r="C505" t="s">
        <v>43</v>
      </c>
      <c r="D505" s="13">
        <f>Transportation!B6</f>
        <v>74</v>
      </c>
      <c r="E505" t="s">
        <v>46</v>
      </c>
      <c r="F505" s="20" t="s">
        <v>180</v>
      </c>
      <c r="G505" t="s">
        <v>18</v>
      </c>
    </row>
    <row r="506" spans="1:9" x14ac:dyDescent="0.35">
      <c r="A506" t="s">
        <v>186</v>
      </c>
      <c r="B506" t="s">
        <v>187</v>
      </c>
      <c r="C506" t="s">
        <v>53</v>
      </c>
      <c r="D506">
        <f>D490</f>
        <v>5.276331364752</v>
      </c>
      <c r="E506" t="s">
        <v>49</v>
      </c>
      <c r="F506" s="20" t="s">
        <v>180</v>
      </c>
      <c r="G506" t="s">
        <v>18</v>
      </c>
      <c r="I506" t="s">
        <v>36</v>
      </c>
    </row>
    <row r="507" spans="1:9" x14ac:dyDescent="0.35">
      <c r="A507" t="s">
        <v>131</v>
      </c>
      <c r="C507" t="s">
        <v>53</v>
      </c>
      <c r="D507" s="13">
        <f>D491</f>
        <v>73.246092677999997</v>
      </c>
      <c r="F507" s="20" t="s">
        <v>181</v>
      </c>
      <c r="G507" t="s">
        <v>59</v>
      </c>
      <c r="H507" t="s">
        <v>175</v>
      </c>
    </row>
    <row r="508" spans="1:9" x14ac:dyDescent="0.35">
      <c r="A508" t="s">
        <v>66</v>
      </c>
      <c r="C508" t="s">
        <v>53</v>
      </c>
      <c r="D508">
        <f>D492</f>
        <v>14.496811506</v>
      </c>
      <c r="F508" s="20" t="s">
        <v>181</v>
      </c>
      <c r="G508" t="s">
        <v>59</v>
      </c>
      <c r="H508" t="s">
        <v>60</v>
      </c>
    </row>
    <row r="509" spans="1:9" x14ac:dyDescent="0.35">
      <c r="A509" t="s">
        <v>177</v>
      </c>
      <c r="B509" t="s">
        <v>176</v>
      </c>
      <c r="C509" t="s">
        <v>56</v>
      </c>
      <c r="D509">
        <f>'Comparing models'!D25</f>
        <v>109.57129105566415</v>
      </c>
      <c r="E509" t="s">
        <v>183</v>
      </c>
      <c r="F509" s="20" t="s">
        <v>180</v>
      </c>
      <c r="G509" t="s">
        <v>67</v>
      </c>
    </row>
    <row r="512" spans="1:9" x14ac:dyDescent="0.35">
      <c r="A512" s="1" t="s">
        <v>1</v>
      </c>
      <c r="B512" t="s">
        <v>276</v>
      </c>
      <c r="C512" s="2"/>
      <c r="D512" s="2"/>
      <c r="E512" s="2"/>
      <c r="F512" s="2"/>
      <c r="G512" s="2"/>
      <c r="H512" s="2"/>
      <c r="I512" s="2"/>
    </row>
    <row r="513" spans="1:9" x14ac:dyDescent="0.35">
      <c r="A513" s="3" t="s">
        <v>2</v>
      </c>
      <c r="B513" t="s">
        <v>270</v>
      </c>
    </row>
    <row r="514" spans="1:9" x14ac:dyDescent="0.35">
      <c r="A514" s="4" t="s">
        <v>3</v>
      </c>
      <c r="B514" s="5" t="s">
        <v>4</v>
      </c>
      <c r="C514" s="5"/>
      <c r="D514" s="5"/>
      <c r="E514" s="5"/>
      <c r="F514" s="5"/>
      <c r="G514" s="5"/>
      <c r="H514" s="5"/>
      <c r="I514" s="5"/>
    </row>
    <row r="515" spans="1:9" x14ac:dyDescent="0.35">
      <c r="A515" s="4" t="s">
        <v>5</v>
      </c>
      <c r="B515" s="6">
        <v>1</v>
      </c>
      <c r="C515" s="5"/>
      <c r="D515" s="5"/>
      <c r="E515" s="5"/>
      <c r="F515" s="5"/>
      <c r="G515" s="5"/>
      <c r="H515" s="5"/>
      <c r="I515" s="5"/>
    </row>
    <row r="516" spans="1:9" x14ac:dyDescent="0.35">
      <c r="A516" s="4" t="s">
        <v>6</v>
      </c>
      <c r="B516" s="5" t="s">
        <v>7</v>
      </c>
      <c r="C516" s="5"/>
      <c r="D516" s="5"/>
      <c r="E516" s="5"/>
      <c r="F516" s="5"/>
      <c r="G516" s="5"/>
      <c r="H516" s="5"/>
      <c r="I516" s="5"/>
    </row>
    <row r="518" spans="1:9" x14ac:dyDescent="0.35">
      <c r="A518" s="3" t="s">
        <v>8</v>
      </c>
    </row>
    <row r="519" spans="1:9" x14ac:dyDescent="0.35">
      <c r="A519" s="3" t="s">
        <v>9</v>
      </c>
      <c r="B519" s="3" t="s">
        <v>10</v>
      </c>
      <c r="C519" s="3" t="s">
        <v>6</v>
      </c>
      <c r="D519" s="8" t="s">
        <v>11</v>
      </c>
      <c r="E519" s="3" t="s">
        <v>3</v>
      </c>
      <c r="F519" s="3" t="s">
        <v>12</v>
      </c>
      <c r="G519" s="3" t="s">
        <v>13</v>
      </c>
      <c r="H519" s="3" t="s">
        <v>14</v>
      </c>
      <c r="I519" t="s">
        <v>2</v>
      </c>
    </row>
    <row r="520" spans="1:9" x14ac:dyDescent="0.35">
      <c r="A520" t="str">
        <f>B512</f>
        <v>Landfill_terrebonne_WARM</v>
      </c>
      <c r="B520" t="s">
        <v>15</v>
      </c>
      <c r="C520" t="s">
        <v>7</v>
      </c>
      <c r="D520" s="12">
        <v>1</v>
      </c>
      <c r="E520" t="s">
        <v>4</v>
      </c>
      <c r="F520" t="str">
        <f>$B$1</f>
        <v>SA OWM Facilities</v>
      </c>
      <c r="G520" t="s">
        <v>16</v>
      </c>
    </row>
    <row r="521" spans="1:9" x14ac:dyDescent="0.35">
      <c r="A521" t="s">
        <v>44</v>
      </c>
      <c r="B521" t="s">
        <v>45</v>
      </c>
      <c r="C521" t="s">
        <v>43</v>
      </c>
      <c r="D521" s="13">
        <f>Transportation!B5</f>
        <v>32</v>
      </c>
      <c r="E521" t="s">
        <v>46</v>
      </c>
      <c r="F521" s="20" t="s">
        <v>180</v>
      </c>
      <c r="G521" t="s">
        <v>18</v>
      </c>
    </row>
    <row r="522" spans="1:9" x14ac:dyDescent="0.35">
      <c r="A522" t="s">
        <v>186</v>
      </c>
      <c r="B522" t="s">
        <v>187</v>
      </c>
      <c r="C522" t="s">
        <v>53</v>
      </c>
      <c r="D522">
        <v>5.276331364752</v>
      </c>
      <c r="E522" t="s">
        <v>49</v>
      </c>
      <c r="F522" s="20" t="s">
        <v>180</v>
      </c>
      <c r="G522" t="s">
        <v>18</v>
      </c>
      <c r="I522" t="s">
        <v>36</v>
      </c>
    </row>
    <row r="523" spans="1:9" x14ac:dyDescent="0.35">
      <c r="A523" t="s">
        <v>131</v>
      </c>
      <c r="C523" t="s">
        <v>53</v>
      </c>
      <c r="D523" s="13">
        <v>73.246092677999997</v>
      </c>
      <c r="F523" s="20" t="s">
        <v>181</v>
      </c>
      <c r="G523" t="s">
        <v>59</v>
      </c>
      <c r="H523" t="s">
        <v>175</v>
      </c>
    </row>
    <row r="524" spans="1:9" x14ac:dyDescent="0.35">
      <c r="A524" t="s">
        <v>66</v>
      </c>
      <c r="C524" t="s">
        <v>53</v>
      </c>
      <c r="D524">
        <v>14.496811506</v>
      </c>
      <c r="F524" s="20" t="s">
        <v>181</v>
      </c>
      <c r="G524" t="s">
        <v>59</v>
      </c>
      <c r="H524" t="s">
        <v>60</v>
      </c>
    </row>
    <row r="525" spans="1:9" x14ac:dyDescent="0.35">
      <c r="A525" t="s">
        <v>177</v>
      </c>
      <c r="B525" t="s">
        <v>176</v>
      </c>
      <c r="C525" t="s">
        <v>56</v>
      </c>
      <c r="D525">
        <v>109.57129105566415</v>
      </c>
      <c r="E525" t="s">
        <v>183</v>
      </c>
      <c r="F525" s="20" t="s">
        <v>180</v>
      </c>
      <c r="G525" t="s">
        <v>67</v>
      </c>
    </row>
    <row r="528" spans="1:9" x14ac:dyDescent="0.35">
      <c r="F528" s="20"/>
    </row>
    <row r="531" spans="1:9" x14ac:dyDescent="0.35">
      <c r="A531" s="1" t="s">
        <v>1</v>
      </c>
      <c r="B531" t="s">
        <v>277</v>
      </c>
      <c r="C531" s="2"/>
      <c r="D531" s="2"/>
      <c r="E531" s="2"/>
      <c r="F531" s="2"/>
      <c r="G531" s="2"/>
      <c r="H531" s="2"/>
      <c r="I531" s="2"/>
    </row>
    <row r="532" spans="1:9" x14ac:dyDescent="0.35">
      <c r="A532" s="3" t="s">
        <v>2</v>
      </c>
      <c r="B532" t="s">
        <v>270</v>
      </c>
    </row>
    <row r="533" spans="1:9" x14ac:dyDescent="0.35">
      <c r="A533" s="4" t="s">
        <v>3</v>
      </c>
      <c r="B533" s="5" t="s">
        <v>4</v>
      </c>
      <c r="C533" s="5"/>
      <c r="D533" s="5"/>
      <c r="E533" s="5"/>
      <c r="F533" s="5"/>
      <c r="G533" s="5"/>
      <c r="H533" s="5"/>
      <c r="I533" s="5"/>
    </row>
    <row r="534" spans="1:9" x14ac:dyDescent="0.35">
      <c r="A534" s="4" t="s">
        <v>5</v>
      </c>
      <c r="B534" s="6">
        <v>1</v>
      </c>
      <c r="C534" s="5"/>
      <c r="D534" s="5"/>
      <c r="E534" s="5"/>
      <c r="F534" s="5"/>
      <c r="G534" s="5"/>
      <c r="H534" s="5"/>
      <c r="I534" s="5"/>
    </row>
    <row r="535" spans="1:9" x14ac:dyDescent="0.35">
      <c r="A535" s="4" t="s">
        <v>6</v>
      </c>
      <c r="B535" s="5" t="s">
        <v>7</v>
      </c>
      <c r="C535" s="5"/>
      <c r="D535" s="5"/>
      <c r="E535" s="5"/>
      <c r="F535" s="5"/>
      <c r="G535" s="5"/>
      <c r="H535" s="5"/>
      <c r="I535" s="5"/>
    </row>
    <row r="537" spans="1:9" x14ac:dyDescent="0.35">
      <c r="A537" s="3" t="s">
        <v>8</v>
      </c>
    </row>
    <row r="538" spans="1:9" x14ac:dyDescent="0.35">
      <c r="A538" s="3" t="s">
        <v>9</v>
      </c>
      <c r="B538" s="3" t="s">
        <v>10</v>
      </c>
      <c r="C538" s="3" t="s">
        <v>6</v>
      </c>
      <c r="D538" s="8" t="s">
        <v>11</v>
      </c>
      <c r="E538" s="3" t="s">
        <v>3</v>
      </c>
      <c r="F538" s="3" t="s">
        <v>12</v>
      </c>
      <c r="G538" s="3" t="s">
        <v>13</v>
      </c>
      <c r="H538" s="3" t="s">
        <v>14</v>
      </c>
      <c r="I538" t="s">
        <v>2</v>
      </c>
    </row>
    <row r="539" spans="1:9" x14ac:dyDescent="0.35">
      <c r="A539" t="str">
        <f>B531</f>
        <v>Landfill_saint_sophie_WARM</v>
      </c>
      <c r="B539" t="s">
        <v>15</v>
      </c>
      <c r="C539" t="s">
        <v>7</v>
      </c>
      <c r="D539" s="12">
        <v>1</v>
      </c>
      <c r="E539" t="s">
        <v>4</v>
      </c>
      <c r="F539" t="str">
        <f>$B$1</f>
        <v>SA OWM Facilities</v>
      </c>
      <c r="G539" t="s">
        <v>16</v>
      </c>
    </row>
    <row r="540" spans="1:9" x14ac:dyDescent="0.35">
      <c r="A540" t="s">
        <v>44</v>
      </c>
      <c r="B540" t="s">
        <v>45</v>
      </c>
      <c r="C540" t="s">
        <v>43</v>
      </c>
      <c r="D540" s="13">
        <f>Transportation!B4</f>
        <v>45</v>
      </c>
      <c r="E540" t="s">
        <v>46</v>
      </c>
      <c r="F540" s="20" t="s">
        <v>180</v>
      </c>
      <c r="G540" t="s">
        <v>18</v>
      </c>
    </row>
    <row r="541" spans="1:9" x14ac:dyDescent="0.35">
      <c r="A541" t="s">
        <v>186</v>
      </c>
      <c r="B541" t="s">
        <v>187</v>
      </c>
      <c r="C541" t="s">
        <v>53</v>
      </c>
      <c r="D541">
        <v>5.276331364752</v>
      </c>
      <c r="E541" t="s">
        <v>49</v>
      </c>
      <c r="F541" s="20" t="s">
        <v>180</v>
      </c>
      <c r="G541" t="s">
        <v>18</v>
      </c>
      <c r="I541" t="s">
        <v>36</v>
      </c>
    </row>
    <row r="542" spans="1:9" x14ac:dyDescent="0.35">
      <c r="A542" t="s">
        <v>131</v>
      </c>
      <c r="C542" t="s">
        <v>53</v>
      </c>
      <c r="D542" s="13">
        <v>73.246092677999997</v>
      </c>
      <c r="F542" s="20" t="s">
        <v>181</v>
      </c>
      <c r="G542" t="s">
        <v>59</v>
      </c>
      <c r="H542" t="s">
        <v>175</v>
      </c>
    </row>
    <row r="543" spans="1:9" x14ac:dyDescent="0.35">
      <c r="A543" t="s">
        <v>66</v>
      </c>
      <c r="C543" t="s">
        <v>53</v>
      </c>
      <c r="D543">
        <v>14.496811506</v>
      </c>
      <c r="F543" s="20" t="s">
        <v>181</v>
      </c>
      <c r="G543" t="s">
        <v>59</v>
      </c>
      <c r="H543" t="s">
        <v>60</v>
      </c>
    </row>
    <row r="544" spans="1:9" x14ac:dyDescent="0.35">
      <c r="A544" t="s">
        <v>177</v>
      </c>
      <c r="B544" t="s">
        <v>176</v>
      </c>
      <c r="C544" t="s">
        <v>56</v>
      </c>
      <c r="D544">
        <v>109.57129105566415</v>
      </c>
      <c r="E544" t="s">
        <v>183</v>
      </c>
      <c r="F544" s="20" t="s">
        <v>180</v>
      </c>
      <c r="G544" t="s">
        <v>67</v>
      </c>
    </row>
    <row r="547" spans="1:9" x14ac:dyDescent="0.35">
      <c r="A547" s="30" t="s">
        <v>1</v>
      </c>
      <c r="B547" s="30" t="s">
        <v>304</v>
      </c>
      <c r="C547" s="15"/>
      <c r="D547" s="15"/>
      <c r="E547" s="15"/>
      <c r="F547" s="15"/>
      <c r="G547" s="15"/>
      <c r="H547" s="15"/>
      <c r="I547" s="15"/>
    </row>
    <row r="548" spans="1:9" x14ac:dyDescent="0.35">
      <c r="A548" t="s">
        <v>2</v>
      </c>
      <c r="B548" t="s">
        <v>310</v>
      </c>
    </row>
    <row r="549" spans="1:9" x14ac:dyDescent="0.35">
      <c r="A549" t="s">
        <v>3</v>
      </c>
      <c r="B549" t="s">
        <v>4</v>
      </c>
    </row>
    <row r="550" spans="1:9" x14ac:dyDescent="0.35">
      <c r="A550" t="s">
        <v>5</v>
      </c>
      <c r="B550">
        <v>1</v>
      </c>
    </row>
    <row r="551" spans="1:9" x14ac:dyDescent="0.35">
      <c r="A551" t="s">
        <v>6</v>
      </c>
      <c r="B551" t="s">
        <v>7</v>
      </c>
    </row>
    <row r="553" spans="1:9" x14ac:dyDescent="0.35">
      <c r="A553" s="3" t="s">
        <v>8</v>
      </c>
      <c r="B553" s="3"/>
      <c r="C553" s="3"/>
      <c r="D553" s="3"/>
      <c r="E553" s="3"/>
      <c r="F553" s="3"/>
      <c r="G553" s="3"/>
      <c r="H553" s="3"/>
      <c r="I553" s="3"/>
    </row>
    <row r="554" spans="1:9" x14ac:dyDescent="0.35">
      <c r="A554" s="3" t="s">
        <v>9</v>
      </c>
      <c r="B554" s="3" t="s">
        <v>10</v>
      </c>
      <c r="C554" s="3" t="s">
        <v>6</v>
      </c>
      <c r="D554" s="3" t="s">
        <v>11</v>
      </c>
      <c r="E554" s="3" t="s">
        <v>3</v>
      </c>
      <c r="F554" s="3" t="s">
        <v>12</v>
      </c>
      <c r="G554" s="3" t="s">
        <v>13</v>
      </c>
      <c r="H554" s="3" t="s">
        <v>14</v>
      </c>
      <c r="I554" s="3" t="s">
        <v>2</v>
      </c>
    </row>
    <row r="555" spans="1:9" x14ac:dyDescent="0.35">
      <c r="A555" t="str">
        <f>B547</f>
        <v>Landfill_saint sophie_HOC</v>
      </c>
      <c r="B555" t="s">
        <v>15</v>
      </c>
      <c r="C555" t="s">
        <v>7</v>
      </c>
      <c r="D555">
        <v>1</v>
      </c>
      <c r="E555" t="s">
        <v>4</v>
      </c>
      <c r="F555" t="s">
        <v>333</v>
      </c>
      <c r="G555" t="s">
        <v>16</v>
      </c>
    </row>
    <row r="556" spans="1:9" x14ac:dyDescent="0.35">
      <c r="A556" t="s">
        <v>44</v>
      </c>
      <c r="B556" t="s">
        <v>45</v>
      </c>
      <c r="C556" t="s">
        <v>43</v>
      </c>
      <c r="D556">
        <f>Transportation!B4</f>
        <v>45</v>
      </c>
      <c r="E556" t="s">
        <v>46</v>
      </c>
      <c r="F556" t="s">
        <v>180</v>
      </c>
      <c r="G556" t="s">
        <v>18</v>
      </c>
    </row>
    <row r="557" spans="1:9" x14ac:dyDescent="0.35">
      <c r="A557" t="s">
        <v>186</v>
      </c>
      <c r="B557" t="s">
        <v>187</v>
      </c>
      <c r="C557" t="s">
        <v>53</v>
      </c>
      <c r="D557">
        <v>1.2233948675764872</v>
      </c>
      <c r="E557" t="s">
        <v>49</v>
      </c>
      <c r="F557" t="s">
        <v>180</v>
      </c>
      <c r="G557" t="s">
        <v>18</v>
      </c>
      <c r="I557" t="s">
        <v>36</v>
      </c>
    </row>
    <row r="558" spans="1:9" x14ac:dyDescent="0.35">
      <c r="A558" t="s">
        <v>66</v>
      </c>
      <c r="C558" t="s">
        <v>53</v>
      </c>
      <c r="D558">
        <v>4.1479948210718032</v>
      </c>
      <c r="F558" t="s">
        <v>181</v>
      </c>
      <c r="G558" t="s">
        <v>59</v>
      </c>
      <c r="H558" t="s">
        <v>60</v>
      </c>
    </row>
    <row r="559" spans="1:9" x14ac:dyDescent="0.35">
      <c r="A559" t="s">
        <v>177</v>
      </c>
      <c r="B559" t="s">
        <v>176</v>
      </c>
      <c r="C559" t="s">
        <v>56</v>
      </c>
      <c r="D559">
        <v>194.60358638579837</v>
      </c>
      <c r="E559" t="s">
        <v>183</v>
      </c>
      <c r="F559" t="s">
        <v>180</v>
      </c>
      <c r="G559" t="s">
        <v>67</v>
      </c>
    </row>
    <row r="560" spans="1:9" x14ac:dyDescent="0.35">
      <c r="A560" t="s">
        <v>64</v>
      </c>
      <c r="C560" t="s">
        <v>53</v>
      </c>
      <c r="D560">
        <v>9.23054210587319E-3</v>
      </c>
      <c r="F560" t="s">
        <v>181</v>
      </c>
      <c r="G560" t="s">
        <v>59</v>
      </c>
      <c r="H560" t="s">
        <v>60</v>
      </c>
      <c r="I560" t="s">
        <v>32</v>
      </c>
    </row>
    <row r="561" spans="1:9" x14ac:dyDescent="0.35">
      <c r="A561" t="s">
        <v>33</v>
      </c>
      <c r="B561" t="s">
        <v>34</v>
      </c>
      <c r="C561" t="s">
        <v>35</v>
      </c>
      <c r="D561">
        <v>64.423795878188926</v>
      </c>
      <c r="E561" t="s">
        <v>4</v>
      </c>
      <c r="F561" t="s">
        <v>180</v>
      </c>
      <c r="G561" t="s">
        <v>18</v>
      </c>
    </row>
    <row r="562" spans="1:9" x14ac:dyDescent="0.35">
      <c r="A562" t="s">
        <v>63</v>
      </c>
      <c r="C562" t="s">
        <v>53</v>
      </c>
      <c r="D562">
        <v>38.489348387191299</v>
      </c>
      <c r="F562" t="s">
        <v>181</v>
      </c>
      <c r="G562" t="s">
        <v>59</v>
      </c>
      <c r="H562" t="s">
        <v>60</v>
      </c>
      <c r="I562" t="s">
        <v>32</v>
      </c>
    </row>
    <row r="563" spans="1:9" x14ac:dyDescent="0.35">
      <c r="A563" t="s">
        <v>182</v>
      </c>
      <c r="B563" t="s">
        <v>55</v>
      </c>
      <c r="C563" t="s">
        <v>56</v>
      </c>
      <c r="D563">
        <v>-2.2979659065951594</v>
      </c>
      <c r="E563" t="s">
        <v>4</v>
      </c>
      <c r="F563" t="s">
        <v>180</v>
      </c>
      <c r="G563" t="s">
        <v>18</v>
      </c>
    </row>
    <row r="564" spans="1:9" x14ac:dyDescent="0.35">
      <c r="A564" s="3" t="s">
        <v>1</v>
      </c>
      <c r="B564" s="3" t="s">
        <v>305</v>
      </c>
    </row>
    <row r="565" spans="1:9" x14ac:dyDescent="0.35">
      <c r="A565" t="s">
        <v>2</v>
      </c>
      <c r="B565" t="s">
        <v>310</v>
      </c>
    </row>
    <row r="566" spans="1:9" x14ac:dyDescent="0.35">
      <c r="A566" t="s">
        <v>3</v>
      </c>
      <c r="B566" t="s">
        <v>4</v>
      </c>
    </row>
    <row r="567" spans="1:9" x14ac:dyDescent="0.35">
      <c r="A567" t="s">
        <v>5</v>
      </c>
      <c r="B567">
        <v>1</v>
      </c>
    </row>
    <row r="568" spans="1:9" x14ac:dyDescent="0.35">
      <c r="A568" t="s">
        <v>6</v>
      </c>
      <c r="B568" t="s">
        <v>7</v>
      </c>
    </row>
    <row r="570" spans="1:9" x14ac:dyDescent="0.35">
      <c r="A570" s="3" t="s">
        <v>8</v>
      </c>
      <c r="B570" s="3"/>
      <c r="C570" s="3"/>
      <c r="D570" s="3"/>
      <c r="E570" s="3"/>
      <c r="F570" s="3"/>
      <c r="G570" s="3"/>
      <c r="H570" s="3"/>
      <c r="I570" s="3"/>
    </row>
    <row r="571" spans="1:9" x14ac:dyDescent="0.35">
      <c r="A571" s="3" t="s">
        <v>9</v>
      </c>
      <c r="B571" s="3" t="s">
        <v>10</v>
      </c>
      <c r="C571" s="3" t="s">
        <v>6</v>
      </c>
      <c r="D571" s="3" t="s">
        <v>11</v>
      </c>
      <c r="E571" s="3" t="s">
        <v>3</v>
      </c>
      <c r="F571" s="3" t="s">
        <v>12</v>
      </c>
      <c r="G571" s="3" t="s">
        <v>13</v>
      </c>
      <c r="H571" s="3" t="s">
        <v>14</v>
      </c>
      <c r="I571" s="3" t="s">
        <v>2</v>
      </c>
    </row>
    <row r="572" spans="1:9" x14ac:dyDescent="0.35">
      <c r="A572" t="str">
        <f>B564</f>
        <v>Landfill_terrebonne_HOC</v>
      </c>
      <c r="B572" t="s">
        <v>15</v>
      </c>
      <c r="C572" t="s">
        <v>7</v>
      </c>
      <c r="D572">
        <v>1</v>
      </c>
      <c r="E572" t="s">
        <v>4</v>
      </c>
      <c r="F572" t="s">
        <v>333</v>
      </c>
      <c r="G572" t="s">
        <v>16</v>
      </c>
    </row>
    <row r="573" spans="1:9" x14ac:dyDescent="0.35">
      <c r="A573" t="s">
        <v>44</v>
      </c>
      <c r="B573" t="s">
        <v>45</v>
      </c>
      <c r="C573" t="s">
        <v>43</v>
      </c>
      <c r="D573">
        <f>Transportation!B5</f>
        <v>32</v>
      </c>
      <c r="E573" t="s">
        <v>46</v>
      </c>
      <c r="F573" t="s">
        <v>180</v>
      </c>
      <c r="G573" t="s">
        <v>18</v>
      </c>
    </row>
    <row r="574" spans="1:9" x14ac:dyDescent="0.35">
      <c r="A574" t="s">
        <v>186</v>
      </c>
      <c r="B574" t="s">
        <v>187</v>
      </c>
      <c r="C574" t="s">
        <v>53</v>
      </c>
      <c r="D574">
        <v>1.2233948675764872</v>
      </c>
      <c r="E574" t="s">
        <v>49</v>
      </c>
      <c r="F574" t="s">
        <v>180</v>
      </c>
      <c r="G574" t="s">
        <v>18</v>
      </c>
      <c r="I574" t="s">
        <v>36</v>
      </c>
    </row>
    <row r="575" spans="1:9" x14ac:dyDescent="0.35">
      <c r="A575" t="s">
        <v>66</v>
      </c>
      <c r="C575" t="s">
        <v>53</v>
      </c>
      <c r="D575">
        <v>4.1479948210718032</v>
      </c>
      <c r="F575" t="s">
        <v>181</v>
      </c>
      <c r="G575" t="s">
        <v>59</v>
      </c>
      <c r="H575" t="s">
        <v>60</v>
      </c>
    </row>
    <row r="576" spans="1:9" x14ac:dyDescent="0.35">
      <c r="A576" t="s">
        <v>177</v>
      </c>
      <c r="B576" t="s">
        <v>176</v>
      </c>
      <c r="C576" t="s">
        <v>56</v>
      </c>
      <c r="D576">
        <v>194.60358638579837</v>
      </c>
      <c r="E576" t="s">
        <v>183</v>
      </c>
      <c r="F576" t="s">
        <v>180</v>
      </c>
      <c r="G576" t="s">
        <v>67</v>
      </c>
    </row>
    <row r="577" spans="1:9" x14ac:dyDescent="0.35">
      <c r="A577" t="s">
        <v>64</v>
      </c>
      <c r="C577" t="s">
        <v>53</v>
      </c>
      <c r="D577">
        <v>9.23054210587319E-3</v>
      </c>
      <c r="F577" t="s">
        <v>181</v>
      </c>
      <c r="G577" t="s">
        <v>59</v>
      </c>
      <c r="H577" t="s">
        <v>60</v>
      </c>
      <c r="I577" t="s">
        <v>32</v>
      </c>
    </row>
    <row r="578" spans="1:9" x14ac:dyDescent="0.35">
      <c r="A578" t="s">
        <v>33</v>
      </c>
      <c r="B578" t="s">
        <v>34</v>
      </c>
      <c r="C578" t="s">
        <v>35</v>
      </c>
      <c r="D578">
        <v>64.423795878188926</v>
      </c>
      <c r="E578" t="s">
        <v>4</v>
      </c>
      <c r="F578" t="s">
        <v>180</v>
      </c>
      <c r="G578" t="s">
        <v>18</v>
      </c>
    </row>
    <row r="579" spans="1:9" x14ac:dyDescent="0.35">
      <c r="A579" t="s">
        <v>63</v>
      </c>
      <c r="C579" t="s">
        <v>53</v>
      </c>
      <c r="D579">
        <v>38.489348387191299</v>
      </c>
      <c r="F579" t="s">
        <v>181</v>
      </c>
      <c r="G579" t="s">
        <v>59</v>
      </c>
      <c r="H579" t="s">
        <v>60</v>
      </c>
      <c r="I579" t="s">
        <v>32</v>
      </c>
    </row>
    <row r="580" spans="1:9" x14ac:dyDescent="0.35">
      <c r="A580" t="s">
        <v>182</v>
      </c>
      <c r="B580" t="s">
        <v>55</v>
      </c>
      <c r="C580" t="s">
        <v>56</v>
      </c>
      <c r="D580">
        <v>-2.2979659065951594</v>
      </c>
      <c r="E580" t="s">
        <v>4</v>
      </c>
      <c r="F580" t="s">
        <v>180</v>
      </c>
      <c r="G580" t="s">
        <v>18</v>
      </c>
    </row>
    <row r="581" spans="1:9" x14ac:dyDescent="0.35">
      <c r="A581" s="3" t="s">
        <v>1</v>
      </c>
      <c r="B581" s="3" t="s">
        <v>306</v>
      </c>
    </row>
    <row r="582" spans="1:9" x14ac:dyDescent="0.35">
      <c r="A582" t="s">
        <v>2</v>
      </c>
      <c r="B582" t="s">
        <v>310</v>
      </c>
    </row>
    <row r="583" spans="1:9" x14ac:dyDescent="0.35">
      <c r="A583" t="s">
        <v>3</v>
      </c>
      <c r="B583" t="s">
        <v>4</v>
      </c>
    </row>
    <row r="584" spans="1:9" x14ac:dyDescent="0.35">
      <c r="A584" t="s">
        <v>5</v>
      </c>
      <c r="B584">
        <v>1</v>
      </c>
    </row>
    <row r="585" spans="1:9" x14ac:dyDescent="0.35">
      <c r="A585" t="s">
        <v>6</v>
      </c>
      <c r="B585" t="s">
        <v>7</v>
      </c>
    </row>
    <row r="587" spans="1:9" x14ac:dyDescent="0.35">
      <c r="A587" s="3" t="s">
        <v>8</v>
      </c>
      <c r="B587" s="3"/>
      <c r="C587" s="3"/>
      <c r="D587" s="3"/>
      <c r="E587" s="3"/>
      <c r="F587" s="3"/>
      <c r="G587" s="3"/>
      <c r="H587" s="3"/>
      <c r="I587" s="3"/>
    </row>
    <row r="588" spans="1:9" x14ac:dyDescent="0.35">
      <c r="A588" s="3" t="s">
        <v>9</v>
      </c>
      <c r="B588" s="3" t="s">
        <v>10</v>
      </c>
      <c r="C588" s="3" t="s">
        <v>6</v>
      </c>
      <c r="D588" s="3" t="s">
        <v>11</v>
      </c>
      <c r="E588" s="3" t="s">
        <v>3</v>
      </c>
      <c r="F588" s="3" t="s">
        <v>12</v>
      </c>
      <c r="G588" s="3" t="s">
        <v>13</v>
      </c>
      <c r="H588" s="3" t="s">
        <v>14</v>
      </c>
      <c r="I588" s="3" t="s">
        <v>2</v>
      </c>
    </row>
    <row r="589" spans="1:9" x14ac:dyDescent="0.35">
      <c r="A589" t="str">
        <f>B581</f>
        <v>Landfill_saint_thomas_HOC</v>
      </c>
      <c r="B589" t="s">
        <v>15</v>
      </c>
      <c r="C589" t="s">
        <v>7</v>
      </c>
      <c r="D589">
        <v>1</v>
      </c>
      <c r="E589" t="s">
        <v>4</v>
      </c>
      <c r="F589" t="s">
        <v>333</v>
      </c>
      <c r="G589" t="s">
        <v>16</v>
      </c>
    </row>
    <row r="590" spans="1:9" x14ac:dyDescent="0.35">
      <c r="A590" t="s">
        <v>44</v>
      </c>
      <c r="B590" t="s">
        <v>45</v>
      </c>
      <c r="C590" t="s">
        <v>43</v>
      </c>
      <c r="D590">
        <f>Transportation!B6</f>
        <v>74</v>
      </c>
      <c r="E590" t="s">
        <v>46</v>
      </c>
      <c r="F590" t="s">
        <v>180</v>
      </c>
      <c r="G590" t="s">
        <v>18</v>
      </c>
    </row>
    <row r="591" spans="1:9" x14ac:dyDescent="0.35">
      <c r="A591" t="s">
        <v>186</v>
      </c>
      <c r="B591" t="s">
        <v>187</v>
      </c>
      <c r="C591" t="s">
        <v>53</v>
      </c>
      <c r="D591">
        <v>1.2233948675764872</v>
      </c>
      <c r="E591" t="s">
        <v>49</v>
      </c>
      <c r="F591" t="s">
        <v>180</v>
      </c>
      <c r="G591" t="s">
        <v>18</v>
      </c>
      <c r="I591" t="s">
        <v>36</v>
      </c>
    </row>
    <row r="592" spans="1:9" x14ac:dyDescent="0.35">
      <c r="A592" t="s">
        <v>66</v>
      </c>
      <c r="C592" t="s">
        <v>53</v>
      </c>
      <c r="D592">
        <v>4.1479948210718032</v>
      </c>
      <c r="F592" t="s">
        <v>181</v>
      </c>
      <c r="G592" t="s">
        <v>59</v>
      </c>
      <c r="H592" t="s">
        <v>60</v>
      </c>
    </row>
    <row r="593" spans="1:9" x14ac:dyDescent="0.35">
      <c r="A593" t="s">
        <v>177</v>
      </c>
      <c r="B593" t="s">
        <v>176</v>
      </c>
      <c r="C593" t="s">
        <v>56</v>
      </c>
      <c r="D593">
        <v>194.60358638579837</v>
      </c>
      <c r="E593" t="s">
        <v>183</v>
      </c>
      <c r="F593" t="s">
        <v>180</v>
      </c>
      <c r="G593" t="s">
        <v>67</v>
      </c>
    </row>
    <row r="594" spans="1:9" x14ac:dyDescent="0.35">
      <c r="A594" t="s">
        <v>64</v>
      </c>
      <c r="C594" t="s">
        <v>53</v>
      </c>
      <c r="D594">
        <v>9.23054210587319E-3</v>
      </c>
      <c r="F594" t="s">
        <v>181</v>
      </c>
      <c r="G594" t="s">
        <v>59</v>
      </c>
      <c r="H594" t="s">
        <v>60</v>
      </c>
      <c r="I594" t="s">
        <v>32</v>
      </c>
    </row>
    <row r="595" spans="1:9" x14ac:dyDescent="0.35">
      <c r="A595" t="s">
        <v>33</v>
      </c>
      <c r="B595" t="s">
        <v>34</v>
      </c>
      <c r="C595" t="s">
        <v>35</v>
      </c>
      <c r="D595">
        <v>64.423795878188926</v>
      </c>
      <c r="E595" t="s">
        <v>4</v>
      </c>
      <c r="F595" t="s">
        <v>180</v>
      </c>
      <c r="G595" t="s">
        <v>18</v>
      </c>
    </row>
    <row r="596" spans="1:9" x14ac:dyDescent="0.35">
      <c r="A596" t="s">
        <v>63</v>
      </c>
      <c r="C596" t="s">
        <v>53</v>
      </c>
      <c r="D596">
        <v>38.489348387191299</v>
      </c>
      <c r="F596" t="s">
        <v>181</v>
      </c>
      <c r="G596" t="s">
        <v>59</v>
      </c>
      <c r="H596" t="s">
        <v>60</v>
      </c>
      <c r="I596" t="s">
        <v>32</v>
      </c>
    </row>
    <row r="597" spans="1:9" x14ac:dyDescent="0.35">
      <c r="A597" t="s">
        <v>182</v>
      </c>
      <c r="B597" t="s">
        <v>55</v>
      </c>
      <c r="C597" t="s">
        <v>56</v>
      </c>
      <c r="D597">
        <v>-2.2979659065951594</v>
      </c>
      <c r="E597" t="s">
        <v>4</v>
      </c>
      <c r="F597" t="s">
        <v>180</v>
      </c>
      <c r="G597" t="s">
        <v>18</v>
      </c>
    </row>
    <row r="599" spans="1:9" x14ac:dyDescent="0.35">
      <c r="A599" s="3"/>
      <c r="B599" s="3"/>
    </row>
    <row r="600" spans="1:9" x14ac:dyDescent="0.35">
      <c r="A600" s="3" t="s">
        <v>1</v>
      </c>
      <c r="B600" s="3" t="s">
        <v>307</v>
      </c>
    </row>
    <row r="601" spans="1:9" x14ac:dyDescent="0.35">
      <c r="A601" t="s">
        <v>2</v>
      </c>
      <c r="B601" t="s">
        <v>310</v>
      </c>
    </row>
    <row r="602" spans="1:9" x14ac:dyDescent="0.35">
      <c r="A602" t="s">
        <v>3</v>
      </c>
      <c r="B602" t="s">
        <v>4</v>
      </c>
    </row>
    <row r="603" spans="1:9" x14ac:dyDescent="0.35">
      <c r="A603" t="s">
        <v>5</v>
      </c>
      <c r="B603">
        <v>1</v>
      </c>
    </row>
    <row r="604" spans="1:9" x14ac:dyDescent="0.35">
      <c r="A604" t="s">
        <v>6</v>
      </c>
      <c r="B604" t="s">
        <v>7</v>
      </c>
    </row>
    <row r="606" spans="1:9" x14ac:dyDescent="0.35">
      <c r="A606" s="3" t="s">
        <v>8</v>
      </c>
      <c r="B606" s="3"/>
      <c r="C606" s="3"/>
      <c r="D606" s="3"/>
      <c r="E606" s="3"/>
      <c r="F606" s="3"/>
      <c r="G606" s="3"/>
      <c r="H606" s="3"/>
      <c r="I606" s="3"/>
    </row>
    <row r="607" spans="1:9" x14ac:dyDescent="0.35">
      <c r="A607" s="3" t="s">
        <v>9</v>
      </c>
      <c r="B607" s="3" t="s">
        <v>10</v>
      </c>
      <c r="C607" s="3" t="s">
        <v>6</v>
      </c>
      <c r="D607" s="3" t="s">
        <v>11</v>
      </c>
      <c r="E607" s="3" t="s">
        <v>3</v>
      </c>
      <c r="F607" s="3" t="s">
        <v>12</v>
      </c>
      <c r="G607" s="3" t="s">
        <v>13</v>
      </c>
      <c r="H607" s="3" t="s">
        <v>14</v>
      </c>
      <c r="I607" s="3" t="s">
        <v>2</v>
      </c>
    </row>
    <row r="608" spans="1:9" x14ac:dyDescent="0.35">
      <c r="A608" t="str">
        <f>B600</f>
        <v>Landfill_lachute_HOC</v>
      </c>
      <c r="B608" t="s">
        <v>15</v>
      </c>
      <c r="C608" t="s">
        <v>7</v>
      </c>
      <c r="D608">
        <v>1</v>
      </c>
      <c r="E608" t="s">
        <v>4</v>
      </c>
      <c r="F608" t="s">
        <v>333</v>
      </c>
      <c r="G608" t="s">
        <v>16</v>
      </c>
    </row>
    <row r="609" spans="1:9" x14ac:dyDescent="0.35">
      <c r="A609" t="s">
        <v>44</v>
      </c>
      <c r="B609" t="s">
        <v>45</v>
      </c>
      <c r="C609" t="s">
        <v>43</v>
      </c>
      <c r="D609">
        <f>Transportation!B7</f>
        <v>77.400000000000006</v>
      </c>
      <c r="E609" t="s">
        <v>46</v>
      </c>
      <c r="F609" t="s">
        <v>180</v>
      </c>
      <c r="G609" t="s">
        <v>18</v>
      </c>
    </row>
    <row r="610" spans="1:9" x14ac:dyDescent="0.35">
      <c r="A610" t="s">
        <v>186</v>
      </c>
      <c r="B610" t="s">
        <v>187</v>
      </c>
      <c r="C610" t="s">
        <v>53</v>
      </c>
      <c r="D610">
        <v>1.2233948675764872</v>
      </c>
      <c r="E610" t="s">
        <v>49</v>
      </c>
      <c r="F610" t="s">
        <v>180</v>
      </c>
      <c r="G610" t="s">
        <v>18</v>
      </c>
      <c r="I610" t="s">
        <v>36</v>
      </c>
    </row>
    <row r="611" spans="1:9" x14ac:dyDescent="0.35">
      <c r="A611" t="s">
        <v>66</v>
      </c>
      <c r="C611" t="s">
        <v>53</v>
      </c>
      <c r="D611">
        <v>4.1479948210718032</v>
      </c>
      <c r="F611" t="s">
        <v>181</v>
      </c>
      <c r="G611" t="s">
        <v>59</v>
      </c>
      <c r="H611" t="s">
        <v>60</v>
      </c>
    </row>
    <row r="612" spans="1:9" x14ac:dyDescent="0.35">
      <c r="A612" t="s">
        <v>33</v>
      </c>
      <c r="B612" t="s">
        <v>34</v>
      </c>
      <c r="C612" t="s">
        <v>35</v>
      </c>
      <c r="D612">
        <v>80.908165582352993</v>
      </c>
      <c r="E612" t="s">
        <v>4</v>
      </c>
      <c r="F612" t="s">
        <v>180</v>
      </c>
      <c r="G612" t="s">
        <v>67</v>
      </c>
    </row>
    <row r="613" spans="1:9" x14ac:dyDescent="0.35">
      <c r="A613" t="s">
        <v>64</v>
      </c>
      <c r="C613" t="s">
        <v>53</v>
      </c>
      <c r="D613">
        <v>9.23054210587319E-3</v>
      </c>
      <c r="F613" t="s">
        <v>181</v>
      </c>
      <c r="G613" t="s">
        <v>59</v>
      </c>
      <c r="H613" t="s">
        <v>60</v>
      </c>
      <c r="I613" t="s">
        <v>32</v>
      </c>
    </row>
    <row r="614" spans="1:9" x14ac:dyDescent="0.35">
      <c r="A614" t="s">
        <v>33</v>
      </c>
      <c r="B614" t="s">
        <v>34</v>
      </c>
      <c r="C614" t="s">
        <v>35</v>
      </c>
      <c r="D614">
        <v>64.423795878188926</v>
      </c>
      <c r="E614" t="s">
        <v>4</v>
      </c>
      <c r="F614" t="s">
        <v>180</v>
      </c>
      <c r="G614" t="s">
        <v>18</v>
      </c>
    </row>
    <row r="615" spans="1:9" x14ac:dyDescent="0.35">
      <c r="A615" t="s">
        <v>63</v>
      </c>
      <c r="C615" t="s">
        <v>53</v>
      </c>
      <c r="D615">
        <v>38.489348387191299</v>
      </c>
      <c r="F615" t="s">
        <v>181</v>
      </c>
      <c r="G615" t="s">
        <v>59</v>
      </c>
      <c r="H615" t="s">
        <v>60</v>
      </c>
      <c r="I615" t="s">
        <v>32</v>
      </c>
    </row>
    <row r="616" spans="1:9" x14ac:dyDescent="0.35">
      <c r="A616" t="s">
        <v>182</v>
      </c>
      <c r="B616" t="s">
        <v>55</v>
      </c>
      <c r="C616" t="s">
        <v>56</v>
      </c>
      <c r="D616">
        <v>-2.2979659065951594</v>
      </c>
      <c r="E616" t="s">
        <v>4</v>
      </c>
      <c r="F616" t="s">
        <v>180</v>
      </c>
      <c r="G616" t="s">
        <v>18</v>
      </c>
    </row>
    <row r="617" spans="1:9" x14ac:dyDescent="0.35">
      <c r="A617" s="3" t="s">
        <v>1</v>
      </c>
      <c r="B617" s="3" t="s">
        <v>308</v>
      </c>
    </row>
    <row r="618" spans="1:9" x14ac:dyDescent="0.35">
      <c r="A618" t="s">
        <v>2</v>
      </c>
      <c r="B618" t="s">
        <v>310</v>
      </c>
    </row>
    <row r="619" spans="1:9" x14ac:dyDescent="0.35">
      <c r="A619" t="s">
        <v>3</v>
      </c>
      <c r="B619" t="s">
        <v>4</v>
      </c>
    </row>
    <row r="620" spans="1:9" x14ac:dyDescent="0.35">
      <c r="A620" t="s">
        <v>5</v>
      </c>
      <c r="B620">
        <v>1</v>
      </c>
    </row>
    <row r="621" spans="1:9" x14ac:dyDescent="0.35">
      <c r="A621" t="s">
        <v>6</v>
      </c>
      <c r="B621" t="s">
        <v>7</v>
      </c>
    </row>
    <row r="623" spans="1:9" x14ac:dyDescent="0.35">
      <c r="A623" s="3" t="s">
        <v>8</v>
      </c>
      <c r="B623" s="3"/>
      <c r="C623" s="3"/>
      <c r="D623" s="3"/>
      <c r="E623" s="3"/>
      <c r="F623" s="3"/>
      <c r="G623" s="3"/>
      <c r="H623" s="3"/>
      <c r="I623" s="3"/>
    </row>
    <row r="624" spans="1:9" x14ac:dyDescent="0.35">
      <c r="A624" s="3" t="s">
        <v>9</v>
      </c>
      <c r="B624" s="3" t="s">
        <v>10</v>
      </c>
      <c r="C624" s="3" t="s">
        <v>6</v>
      </c>
      <c r="D624" s="3" t="s">
        <v>11</v>
      </c>
      <c r="E624" s="3" t="s">
        <v>3</v>
      </c>
      <c r="F624" s="3" t="s">
        <v>12</v>
      </c>
      <c r="G624" s="3" t="s">
        <v>13</v>
      </c>
      <c r="H624" s="3" t="s">
        <v>14</v>
      </c>
      <c r="I624" s="3" t="s">
        <v>2</v>
      </c>
    </row>
    <row r="625" spans="1:9" x14ac:dyDescent="0.35">
      <c r="A625" t="str">
        <f>B617</f>
        <v>Landfill_st-nicephore_HOC</v>
      </c>
      <c r="B625" t="s">
        <v>15</v>
      </c>
      <c r="C625" t="s">
        <v>7</v>
      </c>
      <c r="D625">
        <v>1</v>
      </c>
      <c r="E625" t="s">
        <v>4</v>
      </c>
      <c r="F625" t="s">
        <v>333</v>
      </c>
      <c r="G625" t="s">
        <v>16</v>
      </c>
    </row>
    <row r="626" spans="1:9" x14ac:dyDescent="0.35">
      <c r="A626" t="s">
        <v>44</v>
      </c>
      <c r="B626" t="s">
        <v>45</v>
      </c>
      <c r="C626" t="s">
        <v>43</v>
      </c>
      <c r="D626">
        <f>Transportation!B8</f>
        <v>123</v>
      </c>
      <c r="E626" t="s">
        <v>46</v>
      </c>
      <c r="F626" t="s">
        <v>180</v>
      </c>
      <c r="G626" t="s">
        <v>18</v>
      </c>
    </row>
    <row r="627" spans="1:9" x14ac:dyDescent="0.35">
      <c r="A627" t="s">
        <v>186</v>
      </c>
      <c r="B627" t="s">
        <v>187</v>
      </c>
      <c r="C627" t="s">
        <v>53</v>
      </c>
      <c r="D627">
        <v>1.2233948675764872</v>
      </c>
      <c r="E627" t="s">
        <v>49</v>
      </c>
      <c r="F627" t="s">
        <v>180</v>
      </c>
      <c r="G627" t="s">
        <v>18</v>
      </c>
      <c r="I627" t="s">
        <v>36</v>
      </c>
    </row>
    <row r="628" spans="1:9" x14ac:dyDescent="0.35">
      <c r="A628" t="s">
        <v>66</v>
      </c>
      <c r="C628" t="s">
        <v>53</v>
      </c>
      <c r="D628">
        <v>4.1479948210718032</v>
      </c>
      <c r="F628" t="s">
        <v>181</v>
      </c>
      <c r="G628" t="s">
        <v>59</v>
      </c>
      <c r="H628" t="s">
        <v>60</v>
      </c>
    </row>
    <row r="629" spans="1:9" x14ac:dyDescent="0.35">
      <c r="A629" t="s">
        <v>33</v>
      </c>
      <c r="B629" t="s">
        <v>34</v>
      </c>
      <c r="C629" t="s">
        <v>35</v>
      </c>
      <c r="D629">
        <v>80.908165582352993</v>
      </c>
      <c r="E629" t="s">
        <v>4</v>
      </c>
      <c r="F629" t="s">
        <v>180</v>
      </c>
      <c r="G629" t="s">
        <v>67</v>
      </c>
    </row>
    <row r="630" spans="1:9" x14ac:dyDescent="0.35">
      <c r="A630" t="s">
        <v>64</v>
      </c>
      <c r="C630" t="s">
        <v>53</v>
      </c>
      <c r="D630">
        <v>9.23054210587319E-3</v>
      </c>
      <c r="F630" t="s">
        <v>181</v>
      </c>
      <c r="G630" t="s">
        <v>59</v>
      </c>
      <c r="H630" t="s">
        <v>60</v>
      </c>
      <c r="I630" t="s">
        <v>32</v>
      </c>
    </row>
    <row r="631" spans="1:9" x14ac:dyDescent="0.35">
      <c r="A631" t="s">
        <v>33</v>
      </c>
      <c r="B631" t="s">
        <v>34</v>
      </c>
      <c r="C631" t="s">
        <v>35</v>
      </c>
      <c r="D631">
        <v>64.423795878188926</v>
      </c>
      <c r="E631" t="s">
        <v>4</v>
      </c>
      <c r="F631" t="s">
        <v>180</v>
      </c>
      <c r="G631" t="s">
        <v>18</v>
      </c>
    </row>
    <row r="632" spans="1:9" x14ac:dyDescent="0.35">
      <c r="A632" t="s">
        <v>63</v>
      </c>
      <c r="C632" t="s">
        <v>53</v>
      </c>
      <c r="D632">
        <v>38.489348387191299</v>
      </c>
      <c r="F632" t="s">
        <v>181</v>
      </c>
      <c r="G632" t="s">
        <v>59</v>
      </c>
      <c r="H632" t="s">
        <v>60</v>
      </c>
      <c r="I632" t="s">
        <v>32</v>
      </c>
    </row>
    <row r="633" spans="1:9" x14ac:dyDescent="0.35">
      <c r="A633" t="s">
        <v>182</v>
      </c>
      <c r="B633" t="s">
        <v>55</v>
      </c>
      <c r="C633" t="s">
        <v>56</v>
      </c>
      <c r="D633">
        <v>-2.2979659065951594</v>
      </c>
      <c r="E633" t="s">
        <v>4</v>
      </c>
      <c r="F633" t="s">
        <v>180</v>
      </c>
      <c r="G633" t="s">
        <v>18</v>
      </c>
    </row>
    <row r="634" spans="1:9" x14ac:dyDescent="0.35">
      <c r="A634" s="3" t="s">
        <v>1</v>
      </c>
      <c r="B634" s="3" t="s">
        <v>309</v>
      </c>
    </row>
    <row r="635" spans="1:9" x14ac:dyDescent="0.35">
      <c r="A635" t="s">
        <v>2</v>
      </c>
      <c r="B635" t="s">
        <v>310</v>
      </c>
    </row>
    <row r="636" spans="1:9" x14ac:dyDescent="0.35">
      <c r="A636" t="s">
        <v>3</v>
      </c>
      <c r="B636" t="s">
        <v>4</v>
      </c>
    </row>
    <row r="637" spans="1:9" x14ac:dyDescent="0.35">
      <c r="A637" t="s">
        <v>5</v>
      </c>
      <c r="B637">
        <v>1</v>
      </c>
    </row>
    <row r="638" spans="1:9" x14ac:dyDescent="0.35">
      <c r="A638" t="s">
        <v>6</v>
      </c>
      <c r="B638" t="s">
        <v>7</v>
      </c>
    </row>
    <row r="640" spans="1:9" x14ac:dyDescent="0.35">
      <c r="A640" s="3" t="s">
        <v>8</v>
      </c>
      <c r="B640" s="3"/>
      <c r="C640" s="3"/>
      <c r="D640" s="3"/>
      <c r="E640" s="3"/>
      <c r="F640" s="3"/>
      <c r="G640" s="3"/>
      <c r="H640" s="3"/>
      <c r="I640" s="3"/>
    </row>
    <row r="641" spans="1:9" x14ac:dyDescent="0.35">
      <c r="A641" s="3" t="s">
        <v>9</v>
      </c>
      <c r="B641" s="3" t="s">
        <v>10</v>
      </c>
      <c r="C641" s="3" t="s">
        <v>6</v>
      </c>
      <c r="D641" s="3" t="s">
        <v>11</v>
      </c>
      <c r="E641" s="3" t="s">
        <v>3</v>
      </c>
      <c r="F641" s="3" t="s">
        <v>12</v>
      </c>
      <c r="G641" s="3" t="s">
        <v>13</v>
      </c>
      <c r="H641" s="3" t="s">
        <v>14</v>
      </c>
      <c r="I641" s="3" t="s">
        <v>2</v>
      </c>
    </row>
    <row r="642" spans="1:9" x14ac:dyDescent="0.35">
      <c r="A642" t="str">
        <f>B634</f>
        <v>Landfill_cecile_de_milton_HOC</v>
      </c>
      <c r="B642" t="s">
        <v>15</v>
      </c>
      <c r="C642" t="s">
        <v>7</v>
      </c>
      <c r="D642">
        <v>1</v>
      </c>
      <c r="E642" t="s">
        <v>4</v>
      </c>
      <c r="F642" t="s">
        <v>333</v>
      </c>
      <c r="G642" t="s">
        <v>16</v>
      </c>
    </row>
    <row r="643" spans="1:9" x14ac:dyDescent="0.35">
      <c r="A643" t="s">
        <v>44</v>
      </c>
      <c r="B643" t="s">
        <v>45</v>
      </c>
      <c r="C643" t="s">
        <v>43</v>
      </c>
      <c r="D643">
        <f>Transportation!B9</f>
        <v>96</v>
      </c>
      <c r="E643" t="s">
        <v>46</v>
      </c>
      <c r="F643" t="s">
        <v>180</v>
      </c>
      <c r="G643" t="s">
        <v>18</v>
      </c>
    </row>
    <row r="644" spans="1:9" x14ac:dyDescent="0.35">
      <c r="A644" t="s">
        <v>186</v>
      </c>
      <c r="B644" t="s">
        <v>187</v>
      </c>
      <c r="C644" t="s">
        <v>53</v>
      </c>
      <c r="D644">
        <v>1.2233948675764872</v>
      </c>
      <c r="E644" t="s">
        <v>49</v>
      </c>
      <c r="F644" t="s">
        <v>180</v>
      </c>
      <c r="G644" t="s">
        <v>18</v>
      </c>
      <c r="I644" t="s">
        <v>36</v>
      </c>
    </row>
    <row r="645" spans="1:9" x14ac:dyDescent="0.35">
      <c r="A645" t="s">
        <v>66</v>
      </c>
      <c r="C645" t="s">
        <v>53</v>
      </c>
      <c r="D645">
        <v>4.1479948210718032</v>
      </c>
      <c r="F645" t="s">
        <v>181</v>
      </c>
      <c r="G645" t="s">
        <v>59</v>
      </c>
      <c r="H645" t="s">
        <v>60</v>
      </c>
    </row>
    <row r="646" spans="1:9" x14ac:dyDescent="0.35">
      <c r="A646" t="s">
        <v>33</v>
      </c>
      <c r="B646" t="s">
        <v>34</v>
      </c>
      <c r="C646" t="s">
        <v>35</v>
      </c>
      <c r="D646">
        <v>80.908165582352993</v>
      </c>
      <c r="E646" t="s">
        <v>4</v>
      </c>
      <c r="F646" t="s">
        <v>180</v>
      </c>
      <c r="G646" t="s">
        <v>67</v>
      </c>
    </row>
    <row r="647" spans="1:9" x14ac:dyDescent="0.35">
      <c r="A647" t="s">
        <v>64</v>
      </c>
      <c r="C647" t="s">
        <v>53</v>
      </c>
      <c r="D647">
        <v>9.23054210587319E-3</v>
      </c>
      <c r="F647" t="s">
        <v>181</v>
      </c>
      <c r="G647" t="s">
        <v>59</v>
      </c>
      <c r="H647" t="s">
        <v>60</v>
      </c>
      <c r="I647" t="s">
        <v>32</v>
      </c>
    </row>
    <row r="648" spans="1:9" x14ac:dyDescent="0.35">
      <c r="A648" t="s">
        <v>33</v>
      </c>
      <c r="B648" t="s">
        <v>34</v>
      </c>
      <c r="C648" t="s">
        <v>35</v>
      </c>
      <c r="D648">
        <v>64.423795878188926</v>
      </c>
      <c r="E648" t="s">
        <v>4</v>
      </c>
      <c r="F648" t="s">
        <v>180</v>
      </c>
      <c r="G648" t="s">
        <v>18</v>
      </c>
    </row>
    <row r="649" spans="1:9" x14ac:dyDescent="0.35">
      <c r="A649" t="s">
        <v>63</v>
      </c>
      <c r="C649" t="s">
        <v>53</v>
      </c>
      <c r="D649">
        <v>38.489348387191299</v>
      </c>
      <c r="F649" t="s">
        <v>181</v>
      </c>
      <c r="G649" t="s">
        <v>59</v>
      </c>
      <c r="H649" t="s">
        <v>60</v>
      </c>
      <c r="I649" t="s">
        <v>32</v>
      </c>
    </row>
    <row r="650" spans="1:9" x14ac:dyDescent="0.35">
      <c r="A650" t="s">
        <v>182</v>
      </c>
      <c r="B650" t="s">
        <v>55</v>
      </c>
      <c r="C650" t="s">
        <v>56</v>
      </c>
      <c r="D650">
        <v>-2.2979659065951594</v>
      </c>
      <c r="E650" t="s">
        <v>4</v>
      </c>
      <c r="F650" t="s">
        <v>180</v>
      </c>
      <c r="G650" t="s">
        <v>18</v>
      </c>
    </row>
    <row r="655" spans="1:9" x14ac:dyDescent="0.35">
      <c r="A655" t="s">
        <v>1</v>
      </c>
      <c r="B655" t="s">
        <v>344</v>
      </c>
    </row>
    <row r="656" spans="1:9" x14ac:dyDescent="0.35">
      <c r="A656" t="s">
        <v>2</v>
      </c>
      <c r="B656" t="s">
        <v>256</v>
      </c>
    </row>
    <row r="657" spans="1:9" x14ac:dyDescent="0.35">
      <c r="A657" t="s">
        <v>3</v>
      </c>
      <c r="B657" t="s">
        <v>4</v>
      </c>
    </row>
    <row r="658" spans="1:9" x14ac:dyDescent="0.35">
      <c r="A658" t="s">
        <v>5</v>
      </c>
      <c r="B658">
        <v>1</v>
      </c>
    </row>
    <row r="659" spans="1:9" x14ac:dyDescent="0.35">
      <c r="A659" t="s">
        <v>6</v>
      </c>
      <c r="B659" t="s">
        <v>7</v>
      </c>
    </row>
    <row r="661" spans="1:9" x14ac:dyDescent="0.35">
      <c r="A661" t="s">
        <v>8</v>
      </c>
    </row>
    <row r="662" spans="1:9" x14ac:dyDescent="0.35">
      <c r="A662" t="s">
        <v>9</v>
      </c>
      <c r="B662" t="s">
        <v>10</v>
      </c>
      <c r="C662" t="s">
        <v>6</v>
      </c>
      <c r="D662" t="s">
        <v>11</v>
      </c>
      <c r="E662" t="s">
        <v>3</v>
      </c>
      <c r="F662" t="s">
        <v>12</v>
      </c>
      <c r="G662" t="s">
        <v>13</v>
      </c>
      <c r="H662" t="s">
        <v>14</v>
      </c>
      <c r="I662" t="s">
        <v>2</v>
      </c>
    </row>
    <row r="663" spans="1:9" x14ac:dyDescent="0.35">
      <c r="A663" t="str">
        <f>B655</f>
        <v>AD_city_low</v>
      </c>
      <c r="B663" t="s">
        <v>15</v>
      </c>
      <c r="C663" t="s">
        <v>7</v>
      </c>
      <c r="D663">
        <v>1</v>
      </c>
      <c r="E663" t="s">
        <v>4</v>
      </c>
      <c r="F663" t="s">
        <v>333</v>
      </c>
      <c r="G663" t="s">
        <v>16</v>
      </c>
    </row>
    <row r="664" spans="1:9" x14ac:dyDescent="0.35">
      <c r="A664" t="s">
        <v>33</v>
      </c>
      <c r="B664" t="s">
        <v>34</v>
      </c>
      <c r="C664" t="s">
        <v>35</v>
      </c>
      <c r="D664">
        <v>2.1350000000000002</v>
      </c>
      <c r="E664" t="s">
        <v>4</v>
      </c>
      <c r="F664" t="s">
        <v>180</v>
      </c>
      <c r="G664" t="s">
        <v>18</v>
      </c>
    </row>
    <row r="665" spans="1:9" x14ac:dyDescent="0.35">
      <c r="A665" t="s">
        <v>70</v>
      </c>
      <c r="B665" t="s">
        <v>71</v>
      </c>
      <c r="C665" t="s">
        <v>72</v>
      </c>
      <c r="D665">
        <v>241.60000000000002</v>
      </c>
      <c r="E665" t="s">
        <v>49</v>
      </c>
      <c r="F665" t="s">
        <v>180</v>
      </c>
      <c r="G665" t="s">
        <v>18</v>
      </c>
    </row>
    <row r="666" spans="1:9" x14ac:dyDescent="0.35">
      <c r="A666" t="s">
        <v>37</v>
      </c>
      <c r="B666" t="s">
        <v>38</v>
      </c>
      <c r="C666" t="s">
        <v>39</v>
      </c>
      <c r="D666">
        <v>0.352112676056338</v>
      </c>
      <c r="E666" t="s">
        <v>40</v>
      </c>
      <c r="F666" t="s">
        <v>180</v>
      </c>
      <c r="G666" t="s">
        <v>18</v>
      </c>
    </row>
    <row r="667" spans="1:9" x14ac:dyDescent="0.35">
      <c r="A667" t="s">
        <v>73</v>
      </c>
      <c r="B667" t="s">
        <v>74</v>
      </c>
      <c r="C667" t="s">
        <v>53</v>
      </c>
      <c r="D667">
        <v>225</v>
      </c>
      <c r="E667" t="s">
        <v>69</v>
      </c>
      <c r="F667" t="s">
        <v>180</v>
      </c>
      <c r="G667" t="s">
        <v>18</v>
      </c>
    </row>
    <row r="668" spans="1:9" x14ac:dyDescent="0.35">
      <c r="A668" t="s">
        <v>44</v>
      </c>
      <c r="B668" t="s">
        <v>45</v>
      </c>
      <c r="C668" t="s">
        <v>43</v>
      </c>
      <c r="D668">
        <v>0</v>
      </c>
      <c r="E668" t="s">
        <v>46</v>
      </c>
      <c r="F668" t="s">
        <v>180</v>
      </c>
      <c r="G668" t="s">
        <v>18</v>
      </c>
    </row>
    <row r="669" spans="1:9" x14ac:dyDescent="0.35">
      <c r="A669" t="s">
        <v>62</v>
      </c>
      <c r="C669" t="s">
        <v>53</v>
      </c>
      <c r="D669">
        <v>0.14559999999999998</v>
      </c>
      <c r="F669" t="s">
        <v>181</v>
      </c>
      <c r="G669" t="s">
        <v>59</v>
      </c>
      <c r="H669" t="s">
        <v>60</v>
      </c>
    </row>
    <row r="670" spans="1:9" x14ac:dyDescent="0.35">
      <c r="A670" t="s">
        <v>63</v>
      </c>
      <c r="C670" t="s">
        <v>53</v>
      </c>
      <c r="D670">
        <v>0</v>
      </c>
      <c r="F670" t="s">
        <v>181</v>
      </c>
      <c r="G670" t="s">
        <v>59</v>
      </c>
      <c r="H670" t="s">
        <v>60</v>
      </c>
    </row>
    <row r="671" spans="1:9" x14ac:dyDescent="0.35">
      <c r="A671" t="s">
        <v>64</v>
      </c>
      <c r="C671" t="s">
        <v>53</v>
      </c>
      <c r="D671">
        <v>1.6666666666666666E-3</v>
      </c>
      <c r="F671" t="s">
        <v>181</v>
      </c>
      <c r="G671" t="s">
        <v>59</v>
      </c>
      <c r="H671" t="s">
        <v>60</v>
      </c>
    </row>
    <row r="672" spans="1:9" x14ac:dyDescent="0.35">
      <c r="A672" t="s">
        <v>65</v>
      </c>
      <c r="C672" t="s">
        <v>53</v>
      </c>
      <c r="D672">
        <v>8.9599999999999999E-2</v>
      </c>
      <c r="F672" t="s">
        <v>181</v>
      </c>
      <c r="G672" t="s">
        <v>59</v>
      </c>
      <c r="H672" t="s">
        <v>60</v>
      </c>
    </row>
    <row r="673" spans="1:9" x14ac:dyDescent="0.35">
      <c r="A673" t="s">
        <v>66</v>
      </c>
      <c r="C673" t="s">
        <v>53</v>
      </c>
      <c r="D673">
        <v>1.6666666666666666E-3</v>
      </c>
      <c r="F673" t="s">
        <v>181</v>
      </c>
      <c r="G673" t="s">
        <v>59</v>
      </c>
      <c r="H673" t="s">
        <v>60</v>
      </c>
    </row>
    <row r="674" spans="1:9" x14ac:dyDescent="0.35">
      <c r="A674" t="s">
        <v>184</v>
      </c>
      <c r="C674" t="s">
        <v>53</v>
      </c>
      <c r="D674">
        <v>0.42599999999999999</v>
      </c>
      <c r="F674" t="s">
        <v>181</v>
      </c>
      <c r="G674" t="s">
        <v>59</v>
      </c>
      <c r="H674" t="s">
        <v>60</v>
      </c>
    </row>
    <row r="675" spans="1:9" x14ac:dyDescent="0.35">
      <c r="A675" t="s">
        <v>75</v>
      </c>
      <c r="C675" t="s">
        <v>53</v>
      </c>
      <c r="D675">
        <v>2.97E-3</v>
      </c>
      <c r="F675" t="s">
        <v>181</v>
      </c>
      <c r="G675" t="s">
        <v>59</v>
      </c>
      <c r="H675" t="s">
        <v>60</v>
      </c>
    </row>
    <row r="676" spans="1:9" x14ac:dyDescent="0.35">
      <c r="A676" t="s">
        <v>76</v>
      </c>
      <c r="C676" t="s">
        <v>53</v>
      </c>
      <c r="D676">
        <v>9.2799999999999992E-5</v>
      </c>
      <c r="F676" t="s">
        <v>181</v>
      </c>
      <c r="G676" t="s">
        <v>59</v>
      </c>
      <c r="H676" t="s">
        <v>58</v>
      </c>
    </row>
    <row r="677" spans="1:9" x14ac:dyDescent="0.35">
      <c r="A677" t="s">
        <v>77</v>
      </c>
      <c r="C677" t="s">
        <v>53</v>
      </c>
      <c r="D677">
        <v>1.0899999999999999E-4</v>
      </c>
      <c r="F677" t="s">
        <v>181</v>
      </c>
      <c r="G677" t="s">
        <v>59</v>
      </c>
      <c r="H677" t="s">
        <v>58</v>
      </c>
    </row>
    <row r="678" spans="1:9" x14ac:dyDescent="0.35">
      <c r="A678" t="s">
        <v>78</v>
      </c>
      <c r="C678" t="s">
        <v>53</v>
      </c>
      <c r="D678">
        <v>7.039999999999999E-5</v>
      </c>
      <c r="F678" t="s">
        <v>181</v>
      </c>
      <c r="G678" t="s">
        <v>59</v>
      </c>
      <c r="H678" t="s">
        <v>60</v>
      </c>
    </row>
    <row r="679" spans="1:9" x14ac:dyDescent="0.35">
      <c r="A679" t="s">
        <v>182</v>
      </c>
      <c r="B679" t="s">
        <v>55</v>
      </c>
      <c r="C679" t="s">
        <v>56</v>
      </c>
      <c r="D679">
        <v>-0.22500000000000001</v>
      </c>
      <c r="E679" t="s">
        <v>4</v>
      </c>
      <c r="F679" t="s">
        <v>180</v>
      </c>
      <c r="G679" t="s">
        <v>18</v>
      </c>
      <c r="I679" t="s">
        <v>32</v>
      </c>
    </row>
    <row r="680" spans="1:9" x14ac:dyDescent="0.35">
      <c r="A680" t="s">
        <v>177</v>
      </c>
      <c r="B680" t="s">
        <v>176</v>
      </c>
      <c r="C680" t="s">
        <v>56</v>
      </c>
      <c r="D680">
        <f>'Natural gas credit'!B16</f>
        <v>17.953959638135004</v>
      </c>
      <c r="E680" t="s">
        <v>183</v>
      </c>
      <c r="F680" t="s">
        <v>180</v>
      </c>
      <c r="G680" t="s">
        <v>67</v>
      </c>
    </row>
    <row r="681" spans="1:9" x14ac:dyDescent="0.35">
      <c r="A681" t="s">
        <v>172</v>
      </c>
      <c r="B681" t="s">
        <v>141</v>
      </c>
      <c r="C681" t="s">
        <v>53</v>
      </c>
      <c r="D681">
        <v>3.1701499999999991</v>
      </c>
      <c r="E681" t="s">
        <v>144</v>
      </c>
      <c r="F681" s="20" t="s">
        <v>180</v>
      </c>
      <c r="G681" t="s">
        <v>67</v>
      </c>
      <c r="I681" t="s">
        <v>204</v>
      </c>
    </row>
    <row r="682" spans="1:9" x14ac:dyDescent="0.35">
      <c r="A682" t="s">
        <v>173</v>
      </c>
      <c r="B682" t="s">
        <v>142</v>
      </c>
      <c r="C682" t="s">
        <v>53</v>
      </c>
      <c r="D682">
        <v>3.348749999999999</v>
      </c>
      <c r="E682" t="s">
        <v>144</v>
      </c>
      <c r="F682" s="20" t="s">
        <v>180</v>
      </c>
      <c r="G682" t="s">
        <v>67</v>
      </c>
    </row>
    <row r="683" spans="1:9" x14ac:dyDescent="0.35">
      <c r="A683" t="s">
        <v>185</v>
      </c>
      <c r="B683" t="s">
        <v>143</v>
      </c>
      <c r="C683" t="s">
        <v>53</v>
      </c>
      <c r="D683">
        <v>0.2902249999999999</v>
      </c>
      <c r="E683" t="s">
        <v>144</v>
      </c>
      <c r="F683" s="20" t="s">
        <v>180</v>
      </c>
      <c r="G683" t="s">
        <v>67</v>
      </c>
    </row>
    <row r="687" spans="1:9" x14ac:dyDescent="0.35">
      <c r="A687" t="s">
        <v>1</v>
      </c>
      <c r="B687" t="s">
        <v>345</v>
      </c>
    </row>
    <row r="688" spans="1:9" x14ac:dyDescent="0.35">
      <c r="A688" t="s">
        <v>2</v>
      </c>
      <c r="B688" t="s">
        <v>310</v>
      </c>
    </row>
    <row r="689" spans="1:19" x14ac:dyDescent="0.35">
      <c r="A689" t="s">
        <v>3</v>
      </c>
      <c r="B689" t="s">
        <v>4</v>
      </c>
    </row>
    <row r="690" spans="1:19" x14ac:dyDescent="0.35">
      <c r="A690" t="s">
        <v>5</v>
      </c>
      <c r="B690">
        <v>1</v>
      </c>
    </row>
    <row r="691" spans="1:19" x14ac:dyDescent="0.35">
      <c r="A691" t="s">
        <v>6</v>
      </c>
      <c r="B691" t="s">
        <v>7</v>
      </c>
    </row>
    <row r="693" spans="1:19" x14ac:dyDescent="0.35">
      <c r="A693" t="s">
        <v>8</v>
      </c>
    </row>
    <row r="694" spans="1:19" x14ac:dyDescent="0.35">
      <c r="A694" t="s">
        <v>9</v>
      </c>
      <c r="B694" t="s">
        <v>10</v>
      </c>
      <c r="C694" t="s">
        <v>6</v>
      </c>
      <c r="D694" t="s">
        <v>11</v>
      </c>
      <c r="E694" t="s">
        <v>3</v>
      </c>
      <c r="F694" t="s">
        <v>12</v>
      </c>
      <c r="G694" t="s">
        <v>13</v>
      </c>
      <c r="H694" t="s">
        <v>14</v>
      </c>
      <c r="I694" t="s">
        <v>2</v>
      </c>
    </row>
    <row r="695" spans="1:19" x14ac:dyDescent="0.35">
      <c r="A695" t="str">
        <f>B687</f>
        <v>Landfill_saint sophie_HOC_high</v>
      </c>
      <c r="B695" t="s">
        <v>15</v>
      </c>
      <c r="C695" t="s">
        <v>7</v>
      </c>
      <c r="D695">
        <v>1</v>
      </c>
      <c r="E695" t="s">
        <v>4</v>
      </c>
      <c r="F695" t="s">
        <v>333</v>
      </c>
      <c r="G695" t="s">
        <v>16</v>
      </c>
    </row>
    <row r="696" spans="1:19" x14ac:dyDescent="0.35">
      <c r="A696" t="s">
        <v>44</v>
      </c>
      <c r="B696" t="s">
        <v>45</v>
      </c>
      <c r="C696" t="s">
        <v>43</v>
      </c>
      <c r="D696">
        <v>45</v>
      </c>
      <c r="E696" t="s">
        <v>46</v>
      </c>
      <c r="F696" t="s">
        <v>180</v>
      </c>
      <c r="G696" t="s">
        <v>18</v>
      </c>
    </row>
    <row r="697" spans="1:19" x14ac:dyDescent="0.35">
      <c r="A697" t="s">
        <v>186</v>
      </c>
      <c r="B697" t="s">
        <v>187</v>
      </c>
      <c r="C697" t="s">
        <v>53</v>
      </c>
      <c r="D697">
        <v>1.2233948675764872</v>
      </c>
      <c r="E697" t="s">
        <v>49</v>
      </c>
      <c r="F697" t="s">
        <v>180</v>
      </c>
      <c r="G697" t="s">
        <v>18</v>
      </c>
      <c r="I697" t="s">
        <v>36</v>
      </c>
    </row>
    <row r="698" spans="1:19" x14ac:dyDescent="0.35">
      <c r="A698" t="s">
        <v>66</v>
      </c>
      <c r="C698" t="s">
        <v>53</v>
      </c>
      <c r="D698">
        <v>4.1479948210718032</v>
      </c>
      <c r="F698" t="s">
        <v>181</v>
      </c>
      <c r="G698" t="s">
        <v>59</v>
      </c>
      <c r="H698" t="s">
        <v>60</v>
      </c>
      <c r="K698" t="s">
        <v>66</v>
      </c>
      <c r="M698" t="s">
        <v>53</v>
      </c>
      <c r="N698">
        <v>4.1479948210718032</v>
      </c>
      <c r="P698" t="s">
        <v>181</v>
      </c>
      <c r="Q698" t="s">
        <v>59</v>
      </c>
      <c r="R698" t="s">
        <v>60</v>
      </c>
    </row>
    <row r="699" spans="1:19" x14ac:dyDescent="0.35">
      <c r="A699" t="s">
        <v>177</v>
      </c>
      <c r="B699" t="s">
        <v>176</v>
      </c>
      <c r="C699" t="s">
        <v>56</v>
      </c>
      <c r="D699">
        <f>'Natural gas credit'!B17</f>
        <v>292.4798936555211</v>
      </c>
      <c r="E699" t="s">
        <v>183</v>
      </c>
      <c r="F699" t="s">
        <v>180</v>
      </c>
      <c r="G699" t="s">
        <v>67</v>
      </c>
      <c r="K699" t="s">
        <v>64</v>
      </c>
      <c r="M699" t="s">
        <v>53</v>
      </c>
      <c r="N699">
        <v>9.23054210587319E-3</v>
      </c>
      <c r="P699" t="s">
        <v>181</v>
      </c>
      <c r="Q699" t="s">
        <v>59</v>
      </c>
      <c r="R699" t="s">
        <v>60</v>
      </c>
      <c r="S699" t="s">
        <v>32</v>
      </c>
    </row>
    <row r="700" spans="1:19" x14ac:dyDescent="0.35">
      <c r="A700" t="s">
        <v>64</v>
      </c>
      <c r="C700" t="s">
        <v>53</v>
      </c>
      <c r="D700">
        <v>9.23054210587319E-3</v>
      </c>
      <c r="F700" t="s">
        <v>181</v>
      </c>
      <c r="G700" t="s">
        <v>59</v>
      </c>
      <c r="H700" t="s">
        <v>60</v>
      </c>
      <c r="I700" t="s">
        <v>32</v>
      </c>
      <c r="K700" t="s">
        <v>63</v>
      </c>
      <c r="M700" t="s">
        <v>53</v>
      </c>
      <c r="N700">
        <v>38.489348387191299</v>
      </c>
      <c r="P700" t="s">
        <v>181</v>
      </c>
      <c r="Q700" t="s">
        <v>59</v>
      </c>
      <c r="R700" t="s">
        <v>60</v>
      </c>
      <c r="S700" t="s">
        <v>32</v>
      </c>
    </row>
    <row r="701" spans="1:19" x14ac:dyDescent="0.35">
      <c r="A701" t="s">
        <v>33</v>
      </c>
      <c r="B701" t="s">
        <v>34</v>
      </c>
      <c r="C701" t="s">
        <v>35</v>
      </c>
      <c r="D701">
        <v>64.423795878188926</v>
      </c>
      <c r="E701" t="s">
        <v>4</v>
      </c>
      <c r="F701" t="s">
        <v>180</v>
      </c>
      <c r="G701" t="s">
        <v>18</v>
      </c>
    </row>
    <row r="702" spans="1:19" x14ac:dyDescent="0.35">
      <c r="A702" t="s">
        <v>63</v>
      </c>
      <c r="C702" t="s">
        <v>53</v>
      </c>
      <c r="D702">
        <v>38.489348387191299</v>
      </c>
      <c r="F702" t="s">
        <v>181</v>
      </c>
      <c r="G702" t="s">
        <v>59</v>
      </c>
      <c r="H702" t="s">
        <v>60</v>
      </c>
      <c r="I702" t="s">
        <v>32</v>
      </c>
    </row>
    <row r="703" spans="1:19" x14ac:dyDescent="0.35">
      <c r="A703" t="s">
        <v>182</v>
      </c>
      <c r="B703" t="s">
        <v>55</v>
      </c>
      <c r="C703" t="s">
        <v>56</v>
      </c>
      <c r="D703">
        <v>-2.2979659065951594</v>
      </c>
      <c r="E703" t="s">
        <v>4</v>
      </c>
      <c r="F703" t="s">
        <v>180</v>
      </c>
      <c r="G703" t="s">
        <v>18</v>
      </c>
    </row>
    <row r="704" spans="1:19" x14ac:dyDescent="0.35">
      <c r="A704" t="s">
        <v>1</v>
      </c>
      <c r="B704" t="s">
        <v>346</v>
      </c>
    </row>
    <row r="705" spans="1:9" x14ac:dyDescent="0.35">
      <c r="A705" t="s">
        <v>2</v>
      </c>
      <c r="B705" t="s">
        <v>310</v>
      </c>
    </row>
    <row r="706" spans="1:9" x14ac:dyDescent="0.35">
      <c r="A706" t="s">
        <v>3</v>
      </c>
      <c r="B706" t="s">
        <v>4</v>
      </c>
    </row>
    <row r="707" spans="1:9" x14ac:dyDescent="0.35">
      <c r="A707" t="s">
        <v>5</v>
      </c>
      <c r="B707">
        <v>1</v>
      </c>
    </row>
    <row r="708" spans="1:9" x14ac:dyDescent="0.35">
      <c r="A708" t="s">
        <v>6</v>
      </c>
      <c r="B708" t="s">
        <v>7</v>
      </c>
    </row>
    <row r="710" spans="1:9" x14ac:dyDescent="0.35">
      <c r="A710" t="s">
        <v>8</v>
      </c>
    </row>
    <row r="711" spans="1:9" x14ac:dyDescent="0.35">
      <c r="A711" t="s">
        <v>9</v>
      </c>
      <c r="B711" t="s">
        <v>10</v>
      </c>
      <c r="C711" t="s">
        <v>6</v>
      </c>
      <c r="D711" t="s">
        <v>11</v>
      </c>
      <c r="E711" t="s">
        <v>3</v>
      </c>
      <c r="F711" t="s">
        <v>12</v>
      </c>
      <c r="G711" t="s">
        <v>13</v>
      </c>
      <c r="H711" t="s">
        <v>14</v>
      </c>
      <c r="I711" t="s">
        <v>2</v>
      </c>
    </row>
    <row r="712" spans="1:9" x14ac:dyDescent="0.35">
      <c r="A712" t="s">
        <v>346</v>
      </c>
      <c r="B712" t="s">
        <v>15</v>
      </c>
      <c r="C712" t="s">
        <v>7</v>
      </c>
      <c r="D712">
        <v>1</v>
      </c>
      <c r="E712" t="s">
        <v>4</v>
      </c>
      <c r="F712" t="s">
        <v>333</v>
      </c>
      <c r="G712" t="s">
        <v>16</v>
      </c>
    </row>
    <row r="713" spans="1:9" x14ac:dyDescent="0.35">
      <c r="A713" t="s">
        <v>44</v>
      </c>
      <c r="B713" t="s">
        <v>45</v>
      </c>
      <c r="C713" t="s">
        <v>43</v>
      </c>
      <c r="D713">
        <v>32</v>
      </c>
      <c r="E713" t="s">
        <v>46</v>
      </c>
      <c r="F713" t="s">
        <v>180</v>
      </c>
      <c r="G713" t="s">
        <v>18</v>
      </c>
    </row>
    <row r="714" spans="1:9" x14ac:dyDescent="0.35">
      <c r="A714" t="s">
        <v>186</v>
      </c>
      <c r="B714" t="s">
        <v>187</v>
      </c>
      <c r="C714" t="s">
        <v>53</v>
      </c>
      <c r="D714">
        <v>1.2233948675764872</v>
      </c>
      <c r="E714" t="s">
        <v>49</v>
      </c>
      <c r="F714" t="s">
        <v>180</v>
      </c>
      <c r="G714" t="s">
        <v>18</v>
      </c>
      <c r="I714" t="s">
        <v>36</v>
      </c>
    </row>
    <row r="715" spans="1:9" x14ac:dyDescent="0.35">
      <c r="A715" t="s">
        <v>66</v>
      </c>
      <c r="C715" t="s">
        <v>53</v>
      </c>
      <c r="D715">
        <v>4.1479948210718032</v>
      </c>
      <c r="F715" t="s">
        <v>181</v>
      </c>
      <c r="G715" t="s">
        <v>59</v>
      </c>
      <c r="H715" t="s">
        <v>60</v>
      </c>
    </row>
    <row r="716" spans="1:9" x14ac:dyDescent="0.35">
      <c r="A716" t="s">
        <v>177</v>
      </c>
      <c r="B716" t="s">
        <v>176</v>
      </c>
      <c r="C716" t="s">
        <v>56</v>
      </c>
      <c r="D716">
        <v>292.4798936555211</v>
      </c>
      <c r="E716" t="s">
        <v>183</v>
      </c>
      <c r="F716" t="s">
        <v>180</v>
      </c>
      <c r="G716" t="s">
        <v>67</v>
      </c>
    </row>
    <row r="717" spans="1:9" x14ac:dyDescent="0.35">
      <c r="A717" t="s">
        <v>64</v>
      </c>
      <c r="C717" t="s">
        <v>53</v>
      </c>
      <c r="D717">
        <v>9.23054210587319E-3</v>
      </c>
      <c r="F717" t="s">
        <v>181</v>
      </c>
      <c r="G717" t="s">
        <v>59</v>
      </c>
      <c r="H717" t="s">
        <v>60</v>
      </c>
      <c r="I717" t="s">
        <v>32</v>
      </c>
    </row>
    <row r="718" spans="1:9" x14ac:dyDescent="0.35">
      <c r="A718" t="s">
        <v>33</v>
      </c>
      <c r="B718" t="s">
        <v>34</v>
      </c>
      <c r="C718" t="s">
        <v>35</v>
      </c>
      <c r="D718">
        <v>64.423795878188926</v>
      </c>
      <c r="E718" t="s">
        <v>4</v>
      </c>
      <c r="F718" t="s">
        <v>180</v>
      </c>
      <c r="G718" t="s">
        <v>18</v>
      </c>
    </row>
    <row r="719" spans="1:9" x14ac:dyDescent="0.35">
      <c r="A719" t="s">
        <v>63</v>
      </c>
      <c r="C719" t="s">
        <v>53</v>
      </c>
      <c r="D719">
        <v>38.489348387191299</v>
      </c>
      <c r="F719" t="s">
        <v>181</v>
      </c>
      <c r="G719" t="s">
        <v>59</v>
      </c>
      <c r="H719" t="s">
        <v>60</v>
      </c>
      <c r="I719" t="s">
        <v>32</v>
      </c>
    </row>
    <row r="720" spans="1:9" x14ac:dyDescent="0.35">
      <c r="A720" t="s">
        <v>182</v>
      </c>
      <c r="B720" t="s">
        <v>55</v>
      </c>
      <c r="C720" t="s">
        <v>56</v>
      </c>
      <c r="D720">
        <v>-2.2979659065951594</v>
      </c>
      <c r="E720" t="s">
        <v>4</v>
      </c>
      <c r="F720" t="s">
        <v>180</v>
      </c>
      <c r="G720" t="s">
        <v>18</v>
      </c>
    </row>
    <row r="721" spans="1:9" x14ac:dyDescent="0.35">
      <c r="A721" t="s">
        <v>1</v>
      </c>
      <c r="B721" t="s">
        <v>347</v>
      </c>
    </row>
    <row r="722" spans="1:9" x14ac:dyDescent="0.35">
      <c r="A722" t="s">
        <v>2</v>
      </c>
      <c r="B722" t="s">
        <v>310</v>
      </c>
    </row>
    <row r="723" spans="1:9" x14ac:dyDescent="0.35">
      <c r="A723" t="s">
        <v>3</v>
      </c>
      <c r="B723" t="s">
        <v>4</v>
      </c>
    </row>
    <row r="724" spans="1:9" x14ac:dyDescent="0.35">
      <c r="A724" t="s">
        <v>5</v>
      </c>
      <c r="B724">
        <v>1</v>
      </c>
    </row>
    <row r="725" spans="1:9" x14ac:dyDescent="0.35">
      <c r="A725" t="s">
        <v>6</v>
      </c>
      <c r="B725" t="s">
        <v>7</v>
      </c>
    </row>
    <row r="727" spans="1:9" x14ac:dyDescent="0.35">
      <c r="A727" t="s">
        <v>8</v>
      </c>
    </row>
    <row r="728" spans="1:9" x14ac:dyDescent="0.35">
      <c r="A728" t="s">
        <v>9</v>
      </c>
      <c r="B728" t="s">
        <v>10</v>
      </c>
      <c r="C728" t="s">
        <v>6</v>
      </c>
      <c r="D728" t="s">
        <v>11</v>
      </c>
      <c r="E728" t="s">
        <v>3</v>
      </c>
      <c r="F728" t="s">
        <v>12</v>
      </c>
      <c r="G728" t="s">
        <v>13</v>
      </c>
      <c r="H728" t="s">
        <v>14</v>
      </c>
      <c r="I728" t="s">
        <v>2</v>
      </c>
    </row>
    <row r="729" spans="1:9" x14ac:dyDescent="0.35">
      <c r="A729" t="str">
        <f>B721</f>
        <v>Landfill_saint_thomas_HOC_high</v>
      </c>
      <c r="B729" t="s">
        <v>15</v>
      </c>
      <c r="C729" t="s">
        <v>7</v>
      </c>
      <c r="D729">
        <v>1</v>
      </c>
      <c r="E729" t="s">
        <v>4</v>
      </c>
      <c r="F729" t="s">
        <v>333</v>
      </c>
      <c r="G729" t="s">
        <v>16</v>
      </c>
    </row>
    <row r="730" spans="1:9" x14ac:dyDescent="0.35">
      <c r="A730" t="s">
        <v>44</v>
      </c>
      <c r="B730" t="s">
        <v>45</v>
      </c>
      <c r="C730" t="s">
        <v>43</v>
      </c>
      <c r="D730">
        <v>74</v>
      </c>
      <c r="E730" t="s">
        <v>46</v>
      </c>
      <c r="F730" t="s">
        <v>180</v>
      </c>
      <c r="G730" t="s">
        <v>18</v>
      </c>
    </row>
    <row r="731" spans="1:9" x14ac:dyDescent="0.35">
      <c r="A731" t="s">
        <v>186</v>
      </c>
      <c r="B731" t="s">
        <v>187</v>
      </c>
      <c r="C731" t="s">
        <v>53</v>
      </c>
      <c r="D731">
        <v>1.2233948675764872</v>
      </c>
      <c r="E731" t="s">
        <v>49</v>
      </c>
      <c r="F731" t="s">
        <v>180</v>
      </c>
      <c r="G731" t="s">
        <v>18</v>
      </c>
      <c r="I731" t="s">
        <v>36</v>
      </c>
    </row>
    <row r="732" spans="1:9" x14ac:dyDescent="0.35">
      <c r="A732" t="s">
        <v>66</v>
      </c>
      <c r="C732" t="s">
        <v>53</v>
      </c>
      <c r="D732">
        <v>4.1479948210718032</v>
      </c>
      <c r="F732" t="s">
        <v>181</v>
      </c>
      <c r="G732" t="s">
        <v>59</v>
      </c>
      <c r="H732" t="s">
        <v>60</v>
      </c>
    </row>
    <row r="733" spans="1:9" x14ac:dyDescent="0.35">
      <c r="A733" t="s">
        <v>177</v>
      </c>
      <c r="B733" t="s">
        <v>176</v>
      </c>
      <c r="C733" t="s">
        <v>56</v>
      </c>
      <c r="D733">
        <v>292.4798936555211</v>
      </c>
      <c r="E733" t="s">
        <v>183</v>
      </c>
      <c r="F733" t="s">
        <v>180</v>
      </c>
      <c r="G733" t="s">
        <v>67</v>
      </c>
    </row>
    <row r="734" spans="1:9" x14ac:dyDescent="0.35">
      <c r="A734" t="s">
        <v>64</v>
      </c>
      <c r="C734" t="s">
        <v>53</v>
      </c>
      <c r="D734">
        <v>9.23054210587319E-3</v>
      </c>
      <c r="F734" t="s">
        <v>181</v>
      </c>
      <c r="G734" t="s">
        <v>59</v>
      </c>
      <c r="H734" t="s">
        <v>60</v>
      </c>
      <c r="I734" t="s">
        <v>32</v>
      </c>
    </row>
    <row r="735" spans="1:9" x14ac:dyDescent="0.35">
      <c r="A735" t="s">
        <v>33</v>
      </c>
      <c r="B735" t="s">
        <v>34</v>
      </c>
      <c r="C735" t="s">
        <v>35</v>
      </c>
      <c r="D735">
        <v>64.423795878188926</v>
      </c>
      <c r="E735" t="s">
        <v>4</v>
      </c>
      <c r="F735" t="s">
        <v>180</v>
      </c>
      <c r="G735" t="s">
        <v>18</v>
      </c>
    </row>
    <row r="736" spans="1:9" x14ac:dyDescent="0.35">
      <c r="A736" t="s">
        <v>63</v>
      </c>
      <c r="C736" t="s">
        <v>53</v>
      </c>
      <c r="D736">
        <v>38.489348387191299</v>
      </c>
      <c r="F736" t="s">
        <v>181</v>
      </c>
      <c r="G736" t="s">
        <v>59</v>
      </c>
      <c r="H736" t="s">
        <v>60</v>
      </c>
      <c r="I736" t="s">
        <v>32</v>
      </c>
    </row>
    <row r="737" spans="1:9" x14ac:dyDescent="0.35">
      <c r="A737" t="s">
        <v>182</v>
      </c>
      <c r="B737" t="s">
        <v>55</v>
      </c>
      <c r="C737" t="s">
        <v>56</v>
      </c>
      <c r="D737">
        <v>-2.2979659065951594</v>
      </c>
      <c r="E737" t="s">
        <v>4</v>
      </c>
      <c r="F737" t="s">
        <v>180</v>
      </c>
      <c r="G737" t="s">
        <v>18</v>
      </c>
    </row>
    <row r="741" spans="1:9" x14ac:dyDescent="0.35">
      <c r="A741" t="s">
        <v>1</v>
      </c>
      <c r="B741" t="s">
        <v>348</v>
      </c>
    </row>
    <row r="742" spans="1:9" x14ac:dyDescent="0.35">
      <c r="A742" t="s">
        <v>2</v>
      </c>
      <c r="B742" t="s">
        <v>310</v>
      </c>
    </row>
    <row r="743" spans="1:9" x14ac:dyDescent="0.35">
      <c r="A743" t="s">
        <v>3</v>
      </c>
      <c r="B743" t="s">
        <v>4</v>
      </c>
    </row>
    <row r="744" spans="1:9" x14ac:dyDescent="0.35">
      <c r="A744" t="s">
        <v>5</v>
      </c>
      <c r="B744">
        <v>1</v>
      </c>
    </row>
    <row r="745" spans="1:9" x14ac:dyDescent="0.35">
      <c r="A745" t="s">
        <v>6</v>
      </c>
      <c r="B745" t="s">
        <v>7</v>
      </c>
    </row>
    <row r="747" spans="1:9" x14ac:dyDescent="0.35">
      <c r="A747" t="s">
        <v>8</v>
      </c>
    </row>
    <row r="748" spans="1:9" x14ac:dyDescent="0.35">
      <c r="A748" t="s">
        <v>9</v>
      </c>
      <c r="B748" t="s">
        <v>10</v>
      </c>
      <c r="C748" t="s">
        <v>6</v>
      </c>
      <c r="D748" t="s">
        <v>11</v>
      </c>
      <c r="E748" t="s">
        <v>3</v>
      </c>
      <c r="F748" t="s">
        <v>12</v>
      </c>
      <c r="G748" t="s">
        <v>13</v>
      </c>
      <c r="H748" t="s">
        <v>14</v>
      </c>
      <c r="I748" t="s">
        <v>2</v>
      </c>
    </row>
    <row r="749" spans="1:9" x14ac:dyDescent="0.35">
      <c r="A749" t="str">
        <f>B741</f>
        <v>Landfill_saint sophie_HOC_low</v>
      </c>
      <c r="B749" t="s">
        <v>15</v>
      </c>
      <c r="C749" t="s">
        <v>7</v>
      </c>
      <c r="D749">
        <v>1</v>
      </c>
      <c r="E749" t="s">
        <v>4</v>
      </c>
      <c r="F749" t="s">
        <v>333</v>
      </c>
      <c r="G749" t="s">
        <v>16</v>
      </c>
    </row>
    <row r="750" spans="1:9" x14ac:dyDescent="0.35">
      <c r="A750" t="s">
        <v>44</v>
      </c>
      <c r="B750" t="s">
        <v>45</v>
      </c>
      <c r="C750" t="s">
        <v>43</v>
      </c>
      <c r="D750">
        <v>45</v>
      </c>
      <c r="E750" t="s">
        <v>46</v>
      </c>
      <c r="F750" t="s">
        <v>180</v>
      </c>
      <c r="G750" t="s">
        <v>18</v>
      </c>
    </row>
    <row r="751" spans="1:9" x14ac:dyDescent="0.35">
      <c r="A751" t="s">
        <v>186</v>
      </c>
      <c r="B751" t="s">
        <v>187</v>
      </c>
      <c r="C751" t="s">
        <v>53</v>
      </c>
      <c r="D751">
        <v>1.2233948675764872</v>
      </c>
      <c r="E751" t="s">
        <v>49</v>
      </c>
      <c r="F751" t="s">
        <v>180</v>
      </c>
      <c r="G751" t="s">
        <v>18</v>
      </c>
      <c r="I751" t="s">
        <v>36</v>
      </c>
    </row>
    <row r="752" spans="1:9" x14ac:dyDescent="0.35">
      <c r="A752" t="s">
        <v>66</v>
      </c>
      <c r="C752" t="s">
        <v>53</v>
      </c>
      <c r="D752">
        <v>4.1479948210718032</v>
      </c>
      <c r="F752" t="s">
        <v>181</v>
      </c>
      <c r="G752" t="s">
        <v>59</v>
      </c>
      <c r="H752" t="s">
        <v>60</v>
      </c>
    </row>
    <row r="753" spans="1:9" x14ac:dyDescent="0.35">
      <c r="A753" t="s">
        <v>177</v>
      </c>
      <c r="B753" t="s">
        <v>176</v>
      </c>
      <c r="C753" t="s">
        <v>56</v>
      </c>
      <c r="D753">
        <v>167.13136780315489</v>
      </c>
      <c r="E753" t="s">
        <v>183</v>
      </c>
      <c r="F753" t="s">
        <v>180</v>
      </c>
      <c r="G753" t="s">
        <v>67</v>
      </c>
    </row>
    <row r="754" spans="1:9" x14ac:dyDescent="0.35">
      <c r="A754" t="s">
        <v>64</v>
      </c>
      <c r="C754" t="s">
        <v>53</v>
      </c>
      <c r="D754">
        <v>9.23054210587319E-3</v>
      </c>
      <c r="F754" t="s">
        <v>181</v>
      </c>
      <c r="G754" t="s">
        <v>59</v>
      </c>
      <c r="H754" t="s">
        <v>60</v>
      </c>
      <c r="I754" t="s">
        <v>32</v>
      </c>
    </row>
    <row r="755" spans="1:9" x14ac:dyDescent="0.35">
      <c r="A755" t="s">
        <v>33</v>
      </c>
      <c r="B755" t="s">
        <v>34</v>
      </c>
      <c r="C755" t="s">
        <v>35</v>
      </c>
      <c r="D755">
        <v>64.423795878188926</v>
      </c>
      <c r="E755" t="s">
        <v>4</v>
      </c>
      <c r="F755" t="s">
        <v>180</v>
      </c>
      <c r="G755" t="s">
        <v>18</v>
      </c>
    </row>
    <row r="756" spans="1:9" x14ac:dyDescent="0.35">
      <c r="A756" t="s">
        <v>63</v>
      </c>
      <c r="C756" t="s">
        <v>53</v>
      </c>
      <c r="D756">
        <v>38.489348387191299</v>
      </c>
      <c r="F756" t="s">
        <v>181</v>
      </c>
      <c r="G756" t="s">
        <v>59</v>
      </c>
      <c r="H756" t="s">
        <v>60</v>
      </c>
      <c r="I756" t="s">
        <v>32</v>
      </c>
    </row>
    <row r="757" spans="1:9" x14ac:dyDescent="0.35">
      <c r="A757" t="s">
        <v>182</v>
      </c>
      <c r="B757" t="s">
        <v>55</v>
      </c>
      <c r="C757" t="s">
        <v>56</v>
      </c>
      <c r="D757">
        <v>-2.2979659065951594</v>
      </c>
      <c r="E757" t="s">
        <v>4</v>
      </c>
      <c r="F757" t="s">
        <v>180</v>
      </c>
      <c r="G757" t="s">
        <v>18</v>
      </c>
    </row>
    <row r="758" spans="1:9" x14ac:dyDescent="0.35">
      <c r="A758" t="s">
        <v>1</v>
      </c>
      <c r="B758" t="s">
        <v>349</v>
      </c>
    </row>
    <row r="759" spans="1:9" x14ac:dyDescent="0.35">
      <c r="A759" t="s">
        <v>2</v>
      </c>
      <c r="B759" t="s">
        <v>310</v>
      </c>
    </row>
    <row r="760" spans="1:9" x14ac:dyDescent="0.35">
      <c r="A760" t="s">
        <v>3</v>
      </c>
      <c r="B760" t="s">
        <v>4</v>
      </c>
    </row>
    <row r="761" spans="1:9" x14ac:dyDescent="0.35">
      <c r="A761" t="s">
        <v>5</v>
      </c>
      <c r="B761">
        <v>1</v>
      </c>
    </row>
    <row r="762" spans="1:9" x14ac:dyDescent="0.35">
      <c r="A762" t="s">
        <v>6</v>
      </c>
      <c r="B762" t="s">
        <v>7</v>
      </c>
    </row>
    <row r="764" spans="1:9" x14ac:dyDescent="0.35">
      <c r="A764" t="s">
        <v>8</v>
      </c>
    </row>
    <row r="765" spans="1:9" x14ac:dyDescent="0.35">
      <c r="A765" t="s">
        <v>9</v>
      </c>
      <c r="B765" t="s">
        <v>10</v>
      </c>
      <c r="C765" t="s">
        <v>6</v>
      </c>
      <c r="D765" t="s">
        <v>11</v>
      </c>
      <c r="E765" t="s">
        <v>3</v>
      </c>
      <c r="F765" t="s">
        <v>12</v>
      </c>
      <c r="G765" t="s">
        <v>13</v>
      </c>
      <c r="H765" t="s">
        <v>14</v>
      </c>
      <c r="I765" t="s">
        <v>2</v>
      </c>
    </row>
    <row r="766" spans="1:9" x14ac:dyDescent="0.35">
      <c r="A766" t="s">
        <v>349</v>
      </c>
      <c r="B766" t="s">
        <v>15</v>
      </c>
      <c r="C766" t="s">
        <v>7</v>
      </c>
      <c r="D766">
        <v>1</v>
      </c>
      <c r="E766" t="s">
        <v>4</v>
      </c>
      <c r="F766" t="s">
        <v>333</v>
      </c>
      <c r="G766" t="s">
        <v>16</v>
      </c>
    </row>
    <row r="767" spans="1:9" x14ac:dyDescent="0.35">
      <c r="A767" t="s">
        <v>44</v>
      </c>
      <c r="B767" t="s">
        <v>45</v>
      </c>
      <c r="C767" t="s">
        <v>43</v>
      </c>
      <c r="D767">
        <v>32</v>
      </c>
      <c r="E767" t="s">
        <v>46</v>
      </c>
      <c r="F767" t="s">
        <v>180</v>
      </c>
      <c r="G767" t="s">
        <v>18</v>
      </c>
    </row>
    <row r="768" spans="1:9" x14ac:dyDescent="0.35">
      <c r="A768" t="s">
        <v>186</v>
      </c>
      <c r="B768" t="s">
        <v>187</v>
      </c>
      <c r="C768" t="s">
        <v>53</v>
      </c>
      <c r="D768">
        <v>1.2233948675764872</v>
      </c>
      <c r="E768" t="s">
        <v>49</v>
      </c>
      <c r="F768" t="s">
        <v>180</v>
      </c>
      <c r="G768" t="s">
        <v>18</v>
      </c>
      <c r="I768" t="s">
        <v>36</v>
      </c>
    </row>
    <row r="769" spans="1:9" x14ac:dyDescent="0.35">
      <c r="A769" t="s">
        <v>66</v>
      </c>
      <c r="C769" t="s">
        <v>53</v>
      </c>
      <c r="D769">
        <v>4.1479948210718032</v>
      </c>
      <c r="F769" t="s">
        <v>181</v>
      </c>
      <c r="G769" t="s">
        <v>59</v>
      </c>
      <c r="H769" t="s">
        <v>60</v>
      </c>
    </row>
    <row r="770" spans="1:9" x14ac:dyDescent="0.35">
      <c r="A770" t="s">
        <v>177</v>
      </c>
      <c r="B770" t="s">
        <v>176</v>
      </c>
      <c r="C770" t="s">
        <v>56</v>
      </c>
      <c r="D770">
        <v>167.13136780315489</v>
      </c>
      <c r="E770" t="s">
        <v>183</v>
      </c>
      <c r="F770" t="s">
        <v>180</v>
      </c>
      <c r="G770" t="s">
        <v>67</v>
      </c>
    </row>
    <row r="771" spans="1:9" x14ac:dyDescent="0.35">
      <c r="A771" t="s">
        <v>64</v>
      </c>
      <c r="C771" t="s">
        <v>53</v>
      </c>
      <c r="D771">
        <v>9.23054210587319E-3</v>
      </c>
      <c r="F771" t="s">
        <v>181</v>
      </c>
      <c r="G771" t="s">
        <v>59</v>
      </c>
      <c r="H771" t="s">
        <v>60</v>
      </c>
      <c r="I771" t="s">
        <v>32</v>
      </c>
    </row>
    <row r="772" spans="1:9" x14ac:dyDescent="0.35">
      <c r="A772" t="s">
        <v>33</v>
      </c>
      <c r="B772" t="s">
        <v>34</v>
      </c>
      <c r="C772" t="s">
        <v>35</v>
      </c>
      <c r="D772">
        <v>64.423795878188926</v>
      </c>
      <c r="E772" t="s">
        <v>4</v>
      </c>
      <c r="F772" t="s">
        <v>180</v>
      </c>
      <c r="G772" t="s">
        <v>18</v>
      </c>
    </row>
    <row r="773" spans="1:9" x14ac:dyDescent="0.35">
      <c r="A773" t="s">
        <v>63</v>
      </c>
      <c r="C773" t="s">
        <v>53</v>
      </c>
      <c r="D773">
        <v>38.489348387191299</v>
      </c>
      <c r="F773" t="s">
        <v>181</v>
      </c>
      <c r="G773" t="s">
        <v>59</v>
      </c>
      <c r="H773" t="s">
        <v>60</v>
      </c>
      <c r="I773" t="s">
        <v>32</v>
      </c>
    </row>
    <row r="774" spans="1:9" x14ac:dyDescent="0.35">
      <c r="A774" t="s">
        <v>182</v>
      </c>
      <c r="B774" t="s">
        <v>55</v>
      </c>
      <c r="C774" t="s">
        <v>56</v>
      </c>
      <c r="D774">
        <v>-2.2979659065951594</v>
      </c>
      <c r="E774" t="s">
        <v>4</v>
      </c>
      <c r="F774" t="s">
        <v>180</v>
      </c>
      <c r="G774" t="s">
        <v>18</v>
      </c>
    </row>
    <row r="775" spans="1:9" x14ac:dyDescent="0.35">
      <c r="A775" t="s">
        <v>1</v>
      </c>
      <c r="B775" t="s">
        <v>350</v>
      </c>
    </row>
    <row r="776" spans="1:9" x14ac:dyDescent="0.35">
      <c r="A776" t="s">
        <v>2</v>
      </c>
      <c r="B776" t="s">
        <v>310</v>
      </c>
    </row>
    <row r="777" spans="1:9" x14ac:dyDescent="0.35">
      <c r="A777" t="s">
        <v>3</v>
      </c>
      <c r="B777" t="s">
        <v>4</v>
      </c>
    </row>
    <row r="778" spans="1:9" x14ac:dyDescent="0.35">
      <c r="A778" t="s">
        <v>5</v>
      </c>
      <c r="B778">
        <v>1</v>
      </c>
    </row>
    <row r="779" spans="1:9" x14ac:dyDescent="0.35">
      <c r="A779" t="s">
        <v>6</v>
      </c>
      <c r="B779" t="s">
        <v>7</v>
      </c>
    </row>
    <row r="781" spans="1:9" x14ac:dyDescent="0.35">
      <c r="A781" t="s">
        <v>8</v>
      </c>
    </row>
    <row r="782" spans="1:9" x14ac:dyDescent="0.35">
      <c r="A782" t="s">
        <v>9</v>
      </c>
      <c r="B782" t="s">
        <v>10</v>
      </c>
      <c r="C782" t="s">
        <v>6</v>
      </c>
      <c r="D782" t="s">
        <v>11</v>
      </c>
      <c r="E782" t="s">
        <v>3</v>
      </c>
      <c r="F782" t="s">
        <v>12</v>
      </c>
      <c r="G782" t="s">
        <v>13</v>
      </c>
      <c r="H782" t="s">
        <v>14</v>
      </c>
      <c r="I782" t="s">
        <v>2</v>
      </c>
    </row>
    <row r="783" spans="1:9" x14ac:dyDescent="0.35">
      <c r="A783" t="s">
        <v>350</v>
      </c>
      <c r="B783" t="s">
        <v>15</v>
      </c>
      <c r="C783" t="s">
        <v>7</v>
      </c>
      <c r="D783">
        <v>1</v>
      </c>
      <c r="E783" t="s">
        <v>4</v>
      </c>
      <c r="F783" t="s">
        <v>333</v>
      </c>
      <c r="G783" t="s">
        <v>16</v>
      </c>
    </row>
    <row r="784" spans="1:9" x14ac:dyDescent="0.35">
      <c r="A784" t="s">
        <v>44</v>
      </c>
      <c r="B784" t="s">
        <v>45</v>
      </c>
      <c r="C784" t="s">
        <v>43</v>
      </c>
      <c r="D784">
        <v>74</v>
      </c>
      <c r="E784" t="s">
        <v>46</v>
      </c>
      <c r="F784" t="s">
        <v>180</v>
      </c>
      <c r="G784" t="s">
        <v>18</v>
      </c>
    </row>
    <row r="785" spans="1:9" x14ac:dyDescent="0.35">
      <c r="A785" t="s">
        <v>186</v>
      </c>
      <c r="B785" t="s">
        <v>187</v>
      </c>
      <c r="C785" t="s">
        <v>53</v>
      </c>
      <c r="D785">
        <v>1.2233948675764872</v>
      </c>
      <c r="E785" t="s">
        <v>49</v>
      </c>
      <c r="F785" t="s">
        <v>180</v>
      </c>
      <c r="G785" t="s">
        <v>18</v>
      </c>
      <c r="I785" t="s">
        <v>36</v>
      </c>
    </row>
    <row r="786" spans="1:9" x14ac:dyDescent="0.35">
      <c r="A786" t="s">
        <v>66</v>
      </c>
      <c r="C786" t="s">
        <v>53</v>
      </c>
      <c r="D786">
        <v>4.1479948210718032</v>
      </c>
      <c r="F786" t="s">
        <v>181</v>
      </c>
      <c r="G786" t="s">
        <v>59</v>
      </c>
      <c r="H786" t="s">
        <v>60</v>
      </c>
    </row>
    <row r="787" spans="1:9" x14ac:dyDescent="0.35">
      <c r="A787" t="s">
        <v>177</v>
      </c>
      <c r="B787" t="s">
        <v>176</v>
      </c>
      <c r="C787" t="s">
        <v>56</v>
      </c>
      <c r="D787">
        <f>'Natural gas credit'!B18</f>
        <v>167.13136780315489</v>
      </c>
      <c r="E787" t="s">
        <v>183</v>
      </c>
      <c r="F787" t="s">
        <v>180</v>
      </c>
      <c r="G787" t="s">
        <v>67</v>
      </c>
    </row>
    <row r="788" spans="1:9" x14ac:dyDescent="0.35">
      <c r="A788" t="s">
        <v>64</v>
      </c>
      <c r="C788" t="s">
        <v>53</v>
      </c>
      <c r="D788">
        <v>9.23054210587319E-3</v>
      </c>
      <c r="F788" t="s">
        <v>181</v>
      </c>
      <c r="G788" t="s">
        <v>59</v>
      </c>
      <c r="H788" t="s">
        <v>60</v>
      </c>
      <c r="I788" t="s">
        <v>32</v>
      </c>
    </row>
    <row r="789" spans="1:9" x14ac:dyDescent="0.35">
      <c r="A789" t="s">
        <v>33</v>
      </c>
      <c r="B789" t="s">
        <v>34</v>
      </c>
      <c r="C789" t="s">
        <v>35</v>
      </c>
      <c r="D789">
        <v>64.423795878188926</v>
      </c>
      <c r="E789" t="s">
        <v>4</v>
      </c>
      <c r="F789" t="s">
        <v>180</v>
      </c>
      <c r="G789" t="s">
        <v>18</v>
      </c>
    </row>
    <row r="790" spans="1:9" x14ac:dyDescent="0.35">
      <c r="A790" t="s">
        <v>63</v>
      </c>
      <c r="C790" t="s">
        <v>53</v>
      </c>
      <c r="D790">
        <v>38.489348387191299</v>
      </c>
      <c r="F790" t="s">
        <v>181</v>
      </c>
      <c r="G790" t="s">
        <v>59</v>
      </c>
      <c r="H790" t="s">
        <v>60</v>
      </c>
      <c r="I790" t="s">
        <v>32</v>
      </c>
    </row>
    <row r="791" spans="1:9" x14ac:dyDescent="0.35">
      <c r="A791" t="s">
        <v>182</v>
      </c>
      <c r="B791" t="s">
        <v>55</v>
      </c>
      <c r="C791" t="s">
        <v>56</v>
      </c>
      <c r="D791">
        <v>-2.2979659065951594</v>
      </c>
      <c r="E791" t="s">
        <v>4</v>
      </c>
      <c r="F791" t="s">
        <v>180</v>
      </c>
      <c r="G791" t="s">
        <v>18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3975D-BBB2-433E-B5BE-1795401400D6}">
  <dimension ref="A1:N34"/>
  <sheetViews>
    <sheetView topLeftCell="A15" zoomScale="101" workbookViewId="0">
      <selection activeCell="E25" sqref="E25"/>
    </sheetView>
  </sheetViews>
  <sheetFormatPr defaultRowHeight="14.5" x14ac:dyDescent="0.35"/>
  <cols>
    <col min="1" max="1" width="45.54296875" customWidth="1"/>
    <col min="2" max="2" width="18.26953125" customWidth="1"/>
    <col min="3" max="3" width="23.7265625" customWidth="1"/>
    <col min="4" max="4" width="13.81640625" customWidth="1"/>
    <col min="5" max="5" width="18.81640625" customWidth="1"/>
    <col min="6" max="6" width="13" customWidth="1"/>
  </cols>
  <sheetData>
    <row r="1" spans="1:9" x14ac:dyDescent="0.35">
      <c r="A1" s="2" t="s">
        <v>195</v>
      </c>
      <c r="D1" s="34" t="s">
        <v>193</v>
      </c>
      <c r="E1" s="34"/>
      <c r="F1" s="34"/>
      <c r="G1" s="34"/>
    </row>
    <row r="2" spans="1:9" x14ac:dyDescent="0.35">
      <c r="A2" t="s">
        <v>194</v>
      </c>
      <c r="C2" t="s">
        <v>265</v>
      </c>
      <c r="D2" s="2" t="s">
        <v>264</v>
      </c>
      <c r="E2" s="2" t="s">
        <v>191</v>
      </c>
      <c r="F2" s="2" t="s">
        <v>192</v>
      </c>
      <c r="G2" s="2" t="s">
        <v>205</v>
      </c>
      <c r="H2" s="2" t="s">
        <v>266</v>
      </c>
      <c r="I2" s="2" t="s">
        <v>267</v>
      </c>
    </row>
    <row r="3" spans="1:9" x14ac:dyDescent="0.35">
      <c r="A3" t="s">
        <v>34</v>
      </c>
    </row>
    <row r="4" spans="1:9" x14ac:dyDescent="0.35">
      <c r="A4" t="s">
        <v>187</v>
      </c>
    </row>
    <row r="5" spans="1:9" x14ac:dyDescent="0.35">
      <c r="A5" t="s">
        <v>190</v>
      </c>
    </row>
    <row r="6" spans="1:9" x14ac:dyDescent="0.35">
      <c r="A6" t="s">
        <v>52</v>
      </c>
    </row>
    <row r="7" spans="1:9" x14ac:dyDescent="0.35">
      <c r="A7" t="s">
        <v>141</v>
      </c>
    </row>
    <row r="8" spans="1:9" x14ac:dyDescent="0.35">
      <c r="A8" t="s">
        <v>142</v>
      </c>
    </row>
    <row r="9" spans="1:9" x14ac:dyDescent="0.35">
      <c r="A9" t="s">
        <v>143</v>
      </c>
    </row>
    <row r="10" spans="1:9" x14ac:dyDescent="0.35">
      <c r="A10" t="s">
        <v>63</v>
      </c>
      <c r="D10">
        <v>0</v>
      </c>
      <c r="E10">
        <v>34.182910414277877</v>
      </c>
      <c r="F10">
        <v>97.9</v>
      </c>
    </row>
    <row r="11" spans="1:9" x14ac:dyDescent="0.35">
      <c r="A11" t="s">
        <v>64</v>
      </c>
      <c r="C11">
        <v>0.2245413602378791</v>
      </c>
      <c r="D11" s="10">
        <v>1.3472481614272745E-5</v>
      </c>
      <c r="E11">
        <v>8.9947155890124133</v>
      </c>
      <c r="F11" s="23">
        <f>1000*0.00015225</f>
        <v>0.15225</v>
      </c>
      <c r="H11">
        <v>1.6666666666666666E-3</v>
      </c>
      <c r="I11">
        <v>0.2050810380829273</v>
      </c>
    </row>
    <row r="12" spans="1:9" x14ac:dyDescent="0.35">
      <c r="A12" t="s">
        <v>66</v>
      </c>
      <c r="C12">
        <v>1.6279248617246236</v>
      </c>
      <c r="D12">
        <v>2.6570727628149027E-3</v>
      </c>
      <c r="E12">
        <v>5.6084550575801383E-2</v>
      </c>
      <c r="F12">
        <v>3.24</v>
      </c>
      <c r="H12">
        <v>1.6666666666666666E-3</v>
      </c>
    </row>
    <row r="13" spans="1:9" x14ac:dyDescent="0.35">
      <c r="A13" t="s">
        <v>62</v>
      </c>
    </row>
    <row r="14" spans="1:9" x14ac:dyDescent="0.35">
      <c r="A14" t="s">
        <v>184</v>
      </c>
    </row>
    <row r="15" spans="1:9" x14ac:dyDescent="0.35">
      <c r="A15" t="s">
        <v>65</v>
      </c>
    </row>
    <row r="19" spans="1:14" x14ac:dyDescent="0.35">
      <c r="A19" s="2" t="s">
        <v>196</v>
      </c>
      <c r="C19" t="s">
        <v>269</v>
      </c>
      <c r="D19" s="2" t="s">
        <v>268</v>
      </c>
      <c r="E19" s="2" t="s">
        <v>201</v>
      </c>
      <c r="F19" s="2" t="s">
        <v>200</v>
      </c>
      <c r="G19" s="2" t="s">
        <v>202</v>
      </c>
    </row>
    <row r="20" spans="1:14" x14ac:dyDescent="0.35">
      <c r="A20" t="s">
        <v>45</v>
      </c>
    </row>
    <row r="21" spans="1:14" x14ac:dyDescent="0.35">
      <c r="A21" t="s">
        <v>203</v>
      </c>
      <c r="C21" s="24">
        <v>0.68883085661884547</v>
      </c>
      <c r="D21" s="2">
        <v>0.68883085661884558</v>
      </c>
      <c r="E21" s="10">
        <f>230800*I24*I26/1000*840</f>
        <v>5.276331364752</v>
      </c>
      <c r="H21" t="s">
        <v>280</v>
      </c>
    </row>
    <row r="22" spans="1:14" x14ac:dyDescent="0.35">
      <c r="A22" t="s">
        <v>283</v>
      </c>
      <c r="E22" s="2">
        <f>0.08074*I24*1000</f>
        <v>73.246092677999997</v>
      </c>
      <c r="F22" s="23">
        <v>73.250026790475331</v>
      </c>
    </row>
    <row r="23" spans="1:14" x14ac:dyDescent="0.35">
      <c r="A23" t="s">
        <v>282</v>
      </c>
      <c r="C23">
        <v>44.250229990800371</v>
      </c>
      <c r="E23">
        <f>0.01598*I24*1000</f>
        <v>14.496811506</v>
      </c>
      <c r="F23" s="23">
        <v>16.43865381141773</v>
      </c>
      <c r="G23" s="2">
        <v>2.33552297919117</v>
      </c>
      <c r="I23" s="2" t="s">
        <v>278</v>
      </c>
      <c r="J23" s="2" t="s">
        <v>148</v>
      </c>
    </row>
    <row r="24" spans="1:14" x14ac:dyDescent="0.35">
      <c r="A24" t="s">
        <v>281</v>
      </c>
      <c r="E24" s="2">
        <f>89.18599*I24</f>
        <v>80.908165582352993</v>
      </c>
      <c r="I24" s="26">
        <v>0.90718469999999996</v>
      </c>
      <c r="J24" t="s">
        <v>279</v>
      </c>
    </row>
    <row r="25" spans="1:14" x14ac:dyDescent="0.35">
      <c r="A25" t="s">
        <v>177</v>
      </c>
      <c r="C25">
        <v>109.57129105566415</v>
      </c>
      <c r="D25" s="2">
        <v>109.57129105566415</v>
      </c>
      <c r="I25" s="2" t="s">
        <v>284</v>
      </c>
      <c r="J25" s="2" t="s">
        <v>148</v>
      </c>
    </row>
    <row r="26" spans="1:14" ht="16" x14ac:dyDescent="0.4">
      <c r="A26" t="s">
        <v>197</v>
      </c>
      <c r="C26">
        <v>410.59899826229173</v>
      </c>
      <c r="D26" s="5">
        <v>22.112566837710503</v>
      </c>
      <c r="G26" s="2">
        <v>21.671376530106802</v>
      </c>
      <c r="I26" s="10">
        <v>3.0000000000000001E-5</v>
      </c>
      <c r="J26" t="s">
        <v>285</v>
      </c>
      <c r="N26" s="25"/>
    </row>
    <row r="27" spans="1:14" x14ac:dyDescent="0.35">
      <c r="A27" t="s">
        <v>198</v>
      </c>
      <c r="C27">
        <v>9.8470135268663328E-2</v>
      </c>
      <c r="D27">
        <v>5.3950634769950809E-3</v>
      </c>
      <c r="G27" s="2">
        <v>5.1972444828385896E-3</v>
      </c>
      <c r="I27" t="s">
        <v>286</v>
      </c>
      <c r="J27" t="s">
        <v>288</v>
      </c>
    </row>
    <row r="28" spans="1:14" x14ac:dyDescent="0.35">
      <c r="A28" t="s">
        <v>199</v>
      </c>
      <c r="C28">
        <v>36.273732772249062</v>
      </c>
      <c r="D28" s="2">
        <v>36.273732772249062</v>
      </c>
      <c r="I28">
        <v>840</v>
      </c>
      <c r="J28" t="s">
        <v>287</v>
      </c>
    </row>
    <row r="31" spans="1:14" x14ac:dyDescent="0.35">
      <c r="A31" t="s">
        <v>236</v>
      </c>
      <c r="D31" t="s">
        <v>239</v>
      </c>
      <c r="E31" t="s">
        <v>240</v>
      </c>
      <c r="F31" t="s">
        <v>237</v>
      </c>
      <c r="G31" t="s">
        <v>238</v>
      </c>
      <c r="H31" t="s">
        <v>241</v>
      </c>
      <c r="I31" t="s">
        <v>6</v>
      </c>
    </row>
    <row r="32" spans="1:14" x14ac:dyDescent="0.35">
      <c r="A32" t="s">
        <v>172</v>
      </c>
      <c r="B32" t="s">
        <v>141</v>
      </c>
      <c r="D32">
        <v>2.3344288127999997</v>
      </c>
      <c r="E32">
        <v>8.3637999999999977</v>
      </c>
      <c r="F32">
        <v>0.29528799999999999</v>
      </c>
      <c r="G32">
        <f>620*0.4</f>
        <v>248</v>
      </c>
      <c r="H32">
        <v>1.7808000000000002</v>
      </c>
      <c r="I32" t="s">
        <v>242</v>
      </c>
    </row>
    <row r="33" spans="1:9" x14ac:dyDescent="0.35">
      <c r="A33" t="s">
        <v>173</v>
      </c>
      <c r="B33" t="s">
        <v>142</v>
      </c>
      <c r="D33">
        <v>0.62187652799999993</v>
      </c>
      <c r="E33">
        <v>8.8349999999999973</v>
      </c>
      <c r="F33">
        <v>0.168736</v>
      </c>
      <c r="H33">
        <v>1.0176000000000001</v>
      </c>
      <c r="I33" t="s">
        <v>242</v>
      </c>
    </row>
    <row r="34" spans="1:9" x14ac:dyDescent="0.35">
      <c r="A34" t="s">
        <v>185</v>
      </c>
      <c r="B34" t="s">
        <v>143</v>
      </c>
      <c r="D34">
        <v>1.453097442680776E-2</v>
      </c>
      <c r="E34">
        <v>0.76569999999999983</v>
      </c>
      <c r="F34">
        <v>0.253104</v>
      </c>
      <c r="H34">
        <v>1.5264000000000002</v>
      </c>
      <c r="I34" t="s">
        <v>242</v>
      </c>
    </row>
  </sheetData>
  <mergeCells count="1">
    <mergeCell ref="D1:G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6DB28-F383-4E17-A2A8-C3C4D97F8AC9}">
  <dimension ref="A1:G15"/>
  <sheetViews>
    <sheetView workbookViewId="0">
      <selection activeCell="B4" sqref="B4"/>
    </sheetView>
  </sheetViews>
  <sheetFormatPr defaultRowHeight="14.5" x14ac:dyDescent="0.35"/>
  <cols>
    <col min="1" max="1" width="25" customWidth="1"/>
  </cols>
  <sheetData>
    <row r="1" spans="1:7" x14ac:dyDescent="0.35">
      <c r="A1" s="15" t="s">
        <v>80</v>
      </c>
      <c r="C1" t="s">
        <v>81</v>
      </c>
      <c r="D1" t="s">
        <v>82</v>
      </c>
    </row>
    <row r="2" spans="1:7" x14ac:dyDescent="0.35">
      <c r="A2" t="s">
        <v>83</v>
      </c>
    </row>
    <row r="3" spans="1:7" x14ac:dyDescent="0.35">
      <c r="A3" s="15" t="s">
        <v>84</v>
      </c>
      <c r="B3" s="15" t="s">
        <v>85</v>
      </c>
      <c r="C3" s="15" t="s">
        <v>86</v>
      </c>
      <c r="D3" s="15" t="s">
        <v>87</v>
      </c>
      <c r="E3" s="15" t="s">
        <v>88</v>
      </c>
      <c r="F3" s="15"/>
      <c r="G3" s="15"/>
    </row>
    <row r="4" spans="1:7" x14ac:dyDescent="0.35">
      <c r="A4" t="s">
        <v>17</v>
      </c>
      <c r="B4">
        <v>45</v>
      </c>
      <c r="C4" t="s">
        <v>89</v>
      </c>
      <c r="D4" t="s">
        <v>90</v>
      </c>
    </row>
    <row r="5" spans="1:7" x14ac:dyDescent="0.35">
      <c r="A5" t="s">
        <v>19</v>
      </c>
      <c r="B5">
        <v>32</v>
      </c>
      <c r="C5" t="s">
        <v>89</v>
      </c>
      <c r="D5" t="s">
        <v>91</v>
      </c>
    </row>
    <row r="6" spans="1:7" x14ac:dyDescent="0.35">
      <c r="A6" t="s">
        <v>20</v>
      </c>
      <c r="B6">
        <v>74</v>
      </c>
      <c r="C6" t="s">
        <v>89</v>
      </c>
      <c r="D6" t="s">
        <v>92</v>
      </c>
    </row>
    <row r="7" spans="1:7" x14ac:dyDescent="0.35">
      <c r="A7" t="s">
        <v>21</v>
      </c>
      <c r="B7">
        <v>77.400000000000006</v>
      </c>
      <c r="C7" t="s">
        <v>89</v>
      </c>
      <c r="D7" t="s">
        <v>93</v>
      </c>
    </row>
    <row r="8" spans="1:7" x14ac:dyDescent="0.35">
      <c r="A8" t="s">
        <v>22</v>
      </c>
      <c r="B8">
        <v>123</v>
      </c>
      <c r="C8" t="s">
        <v>89</v>
      </c>
      <c r="D8" t="s">
        <v>94</v>
      </c>
    </row>
    <row r="9" spans="1:7" x14ac:dyDescent="0.35">
      <c r="A9" t="s">
        <v>23</v>
      </c>
      <c r="B9">
        <v>96</v>
      </c>
      <c r="C9" t="s">
        <v>89</v>
      </c>
      <c r="D9" t="s">
        <v>95</v>
      </c>
    </row>
    <row r="10" spans="1:7" x14ac:dyDescent="0.35">
      <c r="A10" t="s">
        <v>24</v>
      </c>
      <c r="B10">
        <v>133</v>
      </c>
      <c r="C10" t="s">
        <v>89</v>
      </c>
      <c r="D10" s="14" t="s">
        <v>96</v>
      </c>
      <c r="E10" s="14" t="s">
        <v>97</v>
      </c>
    </row>
    <row r="11" spans="1:7" x14ac:dyDescent="0.35">
      <c r="A11" t="s">
        <v>25</v>
      </c>
      <c r="B11">
        <v>6</v>
      </c>
      <c r="C11" t="s">
        <v>89</v>
      </c>
      <c r="D11" t="s">
        <v>98</v>
      </c>
    </row>
    <row r="12" spans="1:7" x14ac:dyDescent="0.35">
      <c r="A12" t="s">
        <v>26</v>
      </c>
      <c r="B12">
        <v>32</v>
      </c>
      <c r="C12" t="s">
        <v>89</v>
      </c>
      <c r="D12" t="str">
        <f>D5</f>
        <v>3779, chemin des 40 Arpents, Lachenaie, QC J6V 9T6</v>
      </c>
    </row>
    <row r="13" spans="1:7" x14ac:dyDescent="0.35">
      <c r="A13" t="s">
        <v>27</v>
      </c>
      <c r="B13">
        <v>74</v>
      </c>
      <c r="C13" t="s">
        <v>89</v>
      </c>
      <c r="D13" t="str">
        <f>D6</f>
        <v>1001, Chemin St-Joseph, Saint-Thomas, QC J0K 3L0</v>
      </c>
      <c r="E13" s="14" t="s">
        <v>97</v>
      </c>
    </row>
    <row r="14" spans="1:7" x14ac:dyDescent="0.35">
      <c r="A14" t="s">
        <v>28</v>
      </c>
      <c r="B14">
        <v>0</v>
      </c>
      <c r="C14" t="s">
        <v>89</v>
      </c>
      <c r="D14" t="s">
        <v>99</v>
      </c>
      <c r="E14" t="s">
        <v>100</v>
      </c>
    </row>
    <row r="15" spans="1:7" x14ac:dyDescent="0.35">
      <c r="A15" t="s">
        <v>29</v>
      </c>
      <c r="B15">
        <v>0</v>
      </c>
      <c r="C15" t="s">
        <v>89</v>
      </c>
      <c r="D15" s="14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38782-21FA-4298-8CD2-04BF34B30789}">
  <dimension ref="A1:F20"/>
  <sheetViews>
    <sheetView zoomScale="54" workbookViewId="0">
      <selection activeCell="H13" sqref="H13"/>
    </sheetView>
  </sheetViews>
  <sheetFormatPr defaultRowHeight="14.5" x14ac:dyDescent="0.35"/>
  <sheetData>
    <row r="1" spans="1:6" x14ac:dyDescent="0.35">
      <c r="A1" s="3" t="s">
        <v>103</v>
      </c>
    </row>
    <row r="2" spans="1:6" ht="15" thickBot="1" x14ac:dyDescent="0.4">
      <c r="A2" s="16" t="s">
        <v>104</v>
      </c>
      <c r="B2" s="16" t="s">
        <v>105</v>
      </c>
      <c r="C2" s="16" t="s">
        <v>106</v>
      </c>
      <c r="D2" s="17" t="s">
        <v>107</v>
      </c>
      <c r="E2" s="16" t="s">
        <v>108</v>
      </c>
      <c r="F2" s="18" t="s">
        <v>106</v>
      </c>
    </row>
    <row r="3" spans="1:6" x14ac:dyDescent="0.35">
      <c r="A3" s="3" t="s">
        <v>109</v>
      </c>
      <c r="B3" t="s">
        <v>110</v>
      </c>
      <c r="C3" t="s">
        <v>79</v>
      </c>
      <c r="D3">
        <f>D4*D5*(1-D6)*(D7*(1-D8)/D9)</f>
        <v>87.325775070989351</v>
      </c>
    </row>
    <row r="4" spans="1:6" x14ac:dyDescent="0.35">
      <c r="A4" t="s">
        <v>111</v>
      </c>
      <c r="B4" t="s">
        <v>112</v>
      </c>
      <c r="D4" s="10">
        <v>3676.0683760683701</v>
      </c>
    </row>
    <row r="5" spans="1:6" x14ac:dyDescent="0.35">
      <c r="A5" t="s">
        <v>113</v>
      </c>
      <c r="D5">
        <v>0.49222092828706998</v>
      </c>
      <c r="E5" t="s">
        <v>114</v>
      </c>
    </row>
    <row r="6" spans="1:6" x14ac:dyDescent="0.35">
      <c r="A6" t="s">
        <v>115</v>
      </c>
      <c r="D6">
        <v>0.03</v>
      </c>
      <c r="E6" s="19">
        <v>0.01</v>
      </c>
    </row>
    <row r="7" spans="1:6" x14ac:dyDescent="0.35">
      <c r="A7" t="s">
        <v>116</v>
      </c>
      <c r="B7" t="s">
        <v>117</v>
      </c>
      <c r="D7">
        <v>0.15403929282883699</v>
      </c>
    </row>
    <row r="8" spans="1:6" x14ac:dyDescent="0.35">
      <c r="A8" t="s">
        <v>118</v>
      </c>
      <c r="D8">
        <v>0.64395916871050696</v>
      </c>
    </row>
    <row r="9" spans="1:6" x14ac:dyDescent="0.35">
      <c r="A9" t="s">
        <v>119</v>
      </c>
      <c r="D9">
        <v>1.1023113109243901</v>
      </c>
      <c r="E9" t="s">
        <v>120</v>
      </c>
    </row>
    <row r="10" spans="1:6" x14ac:dyDescent="0.35">
      <c r="A10" t="s">
        <v>121</v>
      </c>
      <c r="D10">
        <v>1012</v>
      </c>
      <c r="E10" t="s">
        <v>122</v>
      </c>
    </row>
    <row r="11" spans="1:6" x14ac:dyDescent="0.35">
      <c r="A11" t="s">
        <v>123</v>
      </c>
      <c r="D11">
        <v>0.85</v>
      </c>
      <c r="E11" t="s">
        <v>124</v>
      </c>
    </row>
    <row r="12" spans="1:6" x14ac:dyDescent="0.35">
      <c r="A12" t="s">
        <v>125</v>
      </c>
      <c r="D12">
        <v>20</v>
      </c>
      <c r="E12" t="s">
        <v>126</v>
      </c>
    </row>
    <row r="13" spans="1:6" x14ac:dyDescent="0.35">
      <c r="A13" t="s">
        <v>127</v>
      </c>
      <c r="D13" s="10">
        <v>8.5470085470085402E-5</v>
      </c>
      <c r="E13" t="s">
        <v>128</v>
      </c>
    </row>
    <row r="14" spans="1:6" x14ac:dyDescent="0.35">
      <c r="A14" t="s">
        <v>129</v>
      </c>
      <c r="D14">
        <v>25</v>
      </c>
      <c r="E14" t="s">
        <v>130</v>
      </c>
    </row>
    <row r="15" spans="1:6" x14ac:dyDescent="0.35">
      <c r="A15" s="3" t="s">
        <v>131</v>
      </c>
      <c r="B15" t="s">
        <v>132</v>
      </c>
      <c r="D15">
        <f>D16 *(1-D8)/D9</f>
        <v>8.0744333056655251E-2</v>
      </c>
      <c r="E15" t="s">
        <v>133</v>
      </c>
    </row>
    <row r="16" spans="1:6" x14ac:dyDescent="0.35">
      <c r="A16" t="s">
        <v>134</v>
      </c>
      <c r="B16" t="s">
        <v>135</v>
      </c>
      <c r="D16">
        <v>0.249986472897059</v>
      </c>
    </row>
    <row r="17" spans="1:5" x14ac:dyDescent="0.35">
      <c r="A17" t="s">
        <v>136</v>
      </c>
      <c r="D17">
        <v>3.6666666666666701</v>
      </c>
      <c r="E17" t="s">
        <v>137</v>
      </c>
    </row>
    <row r="19" spans="1:5" x14ac:dyDescent="0.35">
      <c r="A19" s="3" t="s">
        <v>138</v>
      </c>
      <c r="B19" t="s">
        <v>139</v>
      </c>
      <c r="D19">
        <f>D20*D7*(1-D8)/D9</f>
        <v>1.8120514032696062E-2</v>
      </c>
      <c r="E19" t="s">
        <v>133</v>
      </c>
    </row>
    <row r="20" spans="1:5" x14ac:dyDescent="0.35">
      <c r="A20" t="s">
        <v>140</v>
      </c>
      <c r="D20">
        <v>0.36420294611850601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B9483-8BE5-4223-B419-E3DE6D98BB0C}">
  <dimension ref="A3:I18"/>
  <sheetViews>
    <sheetView workbookViewId="0">
      <selection activeCell="G22" sqref="G22"/>
    </sheetView>
  </sheetViews>
  <sheetFormatPr defaultRowHeight="14.5" x14ac:dyDescent="0.35"/>
  <cols>
    <col min="1" max="1" width="36.26953125" customWidth="1"/>
    <col min="2" max="2" width="13.453125" customWidth="1"/>
  </cols>
  <sheetData>
    <row r="3" spans="1:9" x14ac:dyDescent="0.35">
      <c r="B3" t="s">
        <v>159</v>
      </c>
      <c r="C3" t="s">
        <v>86</v>
      </c>
      <c r="D3" t="s">
        <v>148</v>
      </c>
    </row>
    <row r="4" spans="1:9" x14ac:dyDescent="0.35">
      <c r="A4" t="s">
        <v>334</v>
      </c>
      <c r="B4">
        <v>16</v>
      </c>
      <c r="C4" t="s">
        <v>161</v>
      </c>
    </row>
    <row r="5" spans="1:9" x14ac:dyDescent="0.35">
      <c r="A5" t="s">
        <v>335</v>
      </c>
      <c r="B5">
        <v>28</v>
      </c>
      <c r="C5" t="s">
        <v>336</v>
      </c>
    </row>
    <row r="6" spans="1:9" x14ac:dyDescent="0.35">
      <c r="A6" t="s">
        <v>160</v>
      </c>
      <c r="B6">
        <v>18.63</v>
      </c>
      <c r="C6" t="s">
        <v>161</v>
      </c>
    </row>
    <row r="7" spans="1:9" x14ac:dyDescent="0.35">
      <c r="A7" t="s">
        <v>162</v>
      </c>
      <c r="B7">
        <v>38.32</v>
      </c>
      <c r="C7" t="s">
        <v>161</v>
      </c>
    </row>
    <row r="8" spans="1:9" x14ac:dyDescent="0.35">
      <c r="A8" t="s">
        <v>337</v>
      </c>
      <c r="B8">
        <f>B5/B7</f>
        <v>0.7306889352818372</v>
      </c>
      <c r="C8" t="s">
        <v>163</v>
      </c>
    </row>
    <row r="9" spans="1:9" x14ac:dyDescent="0.35">
      <c r="A9" t="s">
        <v>338</v>
      </c>
      <c r="B9">
        <f>B4/B7</f>
        <v>0.41753653444676408</v>
      </c>
      <c r="C9" t="s">
        <v>163</v>
      </c>
    </row>
    <row r="10" spans="1:9" x14ac:dyDescent="0.35">
      <c r="A10" s="21" t="s">
        <v>164</v>
      </c>
      <c r="B10">
        <v>2579984</v>
      </c>
      <c r="C10" t="s">
        <v>145</v>
      </c>
      <c r="D10" t="s">
        <v>167</v>
      </c>
    </row>
    <row r="11" spans="1:9" x14ac:dyDescent="0.35">
      <c r="A11" t="s">
        <v>165</v>
      </c>
      <c r="B11">
        <v>60000</v>
      </c>
      <c r="C11" t="s">
        <v>166</v>
      </c>
      <c r="D11" t="s">
        <v>179</v>
      </c>
    </row>
    <row r="12" spans="1:9" x14ac:dyDescent="0.35">
      <c r="A12" s="21" t="s">
        <v>188</v>
      </c>
      <c r="B12">
        <v>400.27962588855598</v>
      </c>
      <c r="C12" t="s">
        <v>189</v>
      </c>
    </row>
    <row r="13" spans="1:9" x14ac:dyDescent="0.35">
      <c r="A13" s="21" t="s">
        <v>331</v>
      </c>
      <c r="B13">
        <f>B10/B11</f>
        <v>42.999733333333332</v>
      </c>
      <c r="C13" t="s">
        <v>189</v>
      </c>
    </row>
    <row r="14" spans="1:9" x14ac:dyDescent="0.35">
      <c r="G14">
        <f>2649/B12</f>
        <v>6.617873677981108</v>
      </c>
      <c r="H14" t="s">
        <v>161</v>
      </c>
      <c r="I14" t="s">
        <v>332</v>
      </c>
    </row>
    <row r="15" spans="1:9" x14ac:dyDescent="0.35">
      <c r="A15" t="s">
        <v>339</v>
      </c>
      <c r="B15">
        <f>B8*B13</f>
        <v>31.419429366736257</v>
      </c>
      <c r="C15" t="s">
        <v>168</v>
      </c>
    </row>
    <row r="16" spans="1:9" x14ac:dyDescent="0.35">
      <c r="A16" t="s">
        <v>340</v>
      </c>
      <c r="B16">
        <f>B13*B9</f>
        <v>17.953959638135004</v>
      </c>
    </row>
    <row r="17" spans="1:3" x14ac:dyDescent="0.35">
      <c r="A17" t="s">
        <v>341</v>
      </c>
      <c r="B17">
        <f>B12*B8</f>
        <v>292.4798936555211</v>
      </c>
      <c r="C17" t="s">
        <v>168</v>
      </c>
    </row>
    <row r="18" spans="1:3" x14ac:dyDescent="0.35">
      <c r="A18" t="s">
        <v>342</v>
      </c>
      <c r="B18">
        <f>B12*B9</f>
        <v>167.13136780315489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C2DF4-6D0E-4BC8-8AFC-0764B2A32407}">
  <dimension ref="A1:O47"/>
  <sheetViews>
    <sheetView topLeftCell="A22" workbookViewId="0">
      <selection activeCell="C45" sqref="C45"/>
    </sheetView>
  </sheetViews>
  <sheetFormatPr defaultRowHeight="14.5" x14ac:dyDescent="0.35"/>
  <cols>
    <col min="1" max="1" width="19.54296875" customWidth="1"/>
    <col min="3" max="3" width="24" customWidth="1"/>
    <col min="4" max="4" width="17.54296875" customWidth="1"/>
    <col min="7" max="7" width="47.26953125" customWidth="1"/>
    <col min="8" max="8" width="46.81640625" customWidth="1"/>
  </cols>
  <sheetData>
    <row r="1" spans="1:15" x14ac:dyDescent="0.35">
      <c r="C1" t="s">
        <v>250</v>
      </c>
      <c r="D1" t="s">
        <v>245</v>
      </c>
    </row>
    <row r="2" spans="1:15" x14ac:dyDescent="0.35">
      <c r="C2" t="s">
        <v>251</v>
      </c>
      <c r="D2" s="19">
        <v>0.81</v>
      </c>
      <c r="E2" t="s">
        <v>246</v>
      </c>
    </row>
    <row r="3" spans="1:15" x14ac:dyDescent="0.35">
      <c r="A3">
        <v>1</v>
      </c>
      <c r="B3" t="s">
        <v>154</v>
      </c>
      <c r="D3">
        <v>1</v>
      </c>
      <c r="E3" t="s">
        <v>249</v>
      </c>
      <c r="G3" t="s">
        <v>141</v>
      </c>
      <c r="H3" t="s">
        <v>172</v>
      </c>
      <c r="I3" t="s">
        <v>53</v>
      </c>
      <c r="J3">
        <f>'Fertilizer credit for compost'!A15</f>
        <v>0.29528799999999999</v>
      </c>
      <c r="K3" t="s">
        <v>144</v>
      </c>
      <c r="L3" t="s">
        <v>149</v>
      </c>
      <c r="M3" t="s">
        <v>67</v>
      </c>
      <c r="O3" t="s">
        <v>32</v>
      </c>
    </row>
    <row r="4" spans="1:15" x14ac:dyDescent="0.35">
      <c r="A4">
        <v>2.5</v>
      </c>
      <c r="B4" t="s">
        <v>155</v>
      </c>
      <c r="C4">
        <v>1</v>
      </c>
      <c r="D4">
        <f>D3/(1-D2)</f>
        <v>5.2631578947368434</v>
      </c>
      <c r="E4" t="s">
        <v>248</v>
      </c>
      <c r="G4" t="s">
        <v>142</v>
      </c>
      <c r="H4" t="s">
        <v>173</v>
      </c>
      <c r="I4" t="s">
        <v>53</v>
      </c>
      <c r="J4">
        <f>'Fertilizer credit for compost'!A13</f>
        <v>0.168736</v>
      </c>
      <c r="K4" t="s">
        <v>144</v>
      </c>
      <c r="L4" t="s">
        <v>149</v>
      </c>
      <c r="M4" t="s">
        <v>67</v>
      </c>
      <c r="O4" t="s">
        <v>32</v>
      </c>
    </row>
    <row r="5" spans="1:15" x14ac:dyDescent="0.35">
      <c r="A5">
        <v>4</v>
      </c>
      <c r="B5" t="s">
        <v>151</v>
      </c>
      <c r="C5">
        <f>13*0.4536</f>
        <v>5.8967999999999998</v>
      </c>
      <c r="D5">
        <f>75000*(1000/(10^6))</f>
        <v>75</v>
      </c>
      <c r="E5" t="s">
        <v>151</v>
      </c>
      <c r="G5" t="s">
        <v>143</v>
      </c>
      <c r="H5" t="s">
        <v>174</v>
      </c>
      <c r="I5" t="s">
        <v>53</v>
      </c>
      <c r="J5">
        <f>'Fertilizer credit for compost'!A14</f>
        <v>0.253104</v>
      </c>
      <c r="K5" t="s">
        <v>144</v>
      </c>
      <c r="L5" t="s">
        <v>149</v>
      </c>
      <c r="M5" t="s">
        <v>67</v>
      </c>
      <c r="O5" t="s">
        <v>32</v>
      </c>
    </row>
    <row r="6" spans="1:15" x14ac:dyDescent="0.35">
      <c r="A6">
        <v>6</v>
      </c>
      <c r="B6" t="s">
        <v>152</v>
      </c>
      <c r="C6">
        <f>16*0.4536</f>
        <v>7.2576000000000001</v>
      </c>
      <c r="D6">
        <f>6500*(1000/(10^6))</f>
        <v>6.5</v>
      </c>
      <c r="E6" t="s">
        <v>152</v>
      </c>
    </row>
    <row r="7" spans="1:15" x14ac:dyDescent="0.35">
      <c r="A7">
        <v>7</v>
      </c>
      <c r="B7" t="s">
        <v>153</v>
      </c>
      <c r="C7">
        <f>48.8*0.4536</f>
        <v>22.135679999999997</v>
      </c>
      <c r="D7">
        <f>71000*(1000/(10^6))</f>
        <v>71</v>
      </c>
      <c r="E7" t="s">
        <v>247</v>
      </c>
    </row>
    <row r="9" spans="1:15" x14ac:dyDescent="0.35">
      <c r="A9" t="s">
        <v>148</v>
      </c>
      <c r="B9" t="s">
        <v>150</v>
      </c>
    </row>
    <row r="10" spans="1:15" x14ac:dyDescent="0.35">
      <c r="A10" s="3" t="s">
        <v>147</v>
      </c>
    </row>
    <row r="11" spans="1:15" x14ac:dyDescent="0.35">
      <c r="A11">
        <v>1</v>
      </c>
      <c r="B11" t="s">
        <v>156</v>
      </c>
    </row>
    <row r="12" spans="1:15" x14ac:dyDescent="0.35">
      <c r="A12">
        <v>0.10546</v>
      </c>
      <c r="B12" t="s">
        <v>155</v>
      </c>
    </row>
    <row r="13" spans="1:15" x14ac:dyDescent="0.35">
      <c r="A13">
        <f>$A$12/$A$4*A5</f>
        <v>0.168736</v>
      </c>
      <c r="B13" t="s">
        <v>151</v>
      </c>
    </row>
    <row r="14" spans="1:15" x14ac:dyDescent="0.35">
      <c r="A14">
        <f>$A$12/$A$4*A6</f>
        <v>0.253104</v>
      </c>
      <c r="B14" t="s">
        <v>152</v>
      </c>
    </row>
    <row r="15" spans="1:15" x14ac:dyDescent="0.35">
      <c r="A15">
        <f t="shared" ref="A15" si="0">$A$12/$A$4*A7</f>
        <v>0.29528799999999999</v>
      </c>
      <c r="B15" t="s">
        <v>153</v>
      </c>
    </row>
    <row r="19" spans="1:15" x14ac:dyDescent="0.35">
      <c r="A19" s="3" t="s">
        <v>157</v>
      </c>
    </row>
    <row r="20" spans="1:15" x14ac:dyDescent="0.35">
      <c r="A20">
        <v>1</v>
      </c>
      <c r="B20" t="s">
        <v>156</v>
      </c>
      <c r="G20" t="s">
        <v>141</v>
      </c>
      <c r="H20" t="s">
        <v>172</v>
      </c>
      <c r="I20" t="s">
        <v>53</v>
      </c>
      <c r="J20">
        <v>1.7808000000000002</v>
      </c>
      <c r="K20" t="s">
        <v>144</v>
      </c>
      <c r="L20" t="s">
        <v>149</v>
      </c>
      <c r="M20" t="s">
        <v>67</v>
      </c>
      <c r="O20" t="s">
        <v>32</v>
      </c>
    </row>
    <row r="21" spans="1:15" x14ac:dyDescent="0.35">
      <c r="A21">
        <v>0.63600000000000001</v>
      </c>
      <c r="B21" t="s">
        <v>155</v>
      </c>
      <c r="G21" t="s">
        <v>142</v>
      </c>
      <c r="H21" t="s">
        <v>173</v>
      </c>
      <c r="I21" t="s">
        <v>53</v>
      </c>
      <c r="J21">
        <v>1.0176000000000001</v>
      </c>
      <c r="K21" t="s">
        <v>144</v>
      </c>
      <c r="L21" t="s">
        <v>149</v>
      </c>
      <c r="M21" t="s">
        <v>67</v>
      </c>
      <c r="O21" t="s">
        <v>32</v>
      </c>
    </row>
    <row r="22" spans="1:15" x14ac:dyDescent="0.35">
      <c r="A22">
        <f>$A$21/$A$4*A5</f>
        <v>1.0176000000000001</v>
      </c>
      <c r="B22" t="s">
        <v>151</v>
      </c>
      <c r="G22" t="s">
        <v>143</v>
      </c>
      <c r="H22" t="s">
        <v>174</v>
      </c>
      <c r="I22" t="s">
        <v>53</v>
      </c>
      <c r="J22">
        <v>1.5264000000000002</v>
      </c>
      <c r="K22" t="s">
        <v>144</v>
      </c>
      <c r="L22" t="s">
        <v>149</v>
      </c>
      <c r="M22" t="s">
        <v>67</v>
      </c>
      <c r="O22" t="s">
        <v>32</v>
      </c>
    </row>
    <row r="23" spans="1:15" x14ac:dyDescent="0.35">
      <c r="A23">
        <f>$A$21/$A$4*A6</f>
        <v>1.5264000000000002</v>
      </c>
      <c r="B23" t="s">
        <v>152</v>
      </c>
    </row>
    <row r="24" spans="1:15" x14ac:dyDescent="0.35">
      <c r="A24">
        <f>$A$21/$A$4*A7</f>
        <v>1.7808000000000002</v>
      </c>
      <c r="B24" t="s">
        <v>153</v>
      </c>
    </row>
    <row r="27" spans="1:15" x14ac:dyDescent="0.35">
      <c r="A27" t="s">
        <v>243</v>
      </c>
    </row>
    <row r="28" spans="1:15" x14ac:dyDescent="0.35">
      <c r="A28" t="s">
        <v>244</v>
      </c>
    </row>
    <row r="29" spans="1:15" x14ac:dyDescent="0.35">
      <c r="A29">
        <v>1</v>
      </c>
      <c r="B29" t="s">
        <v>156</v>
      </c>
    </row>
    <row r="30" spans="1:15" x14ac:dyDescent="0.35">
      <c r="A30">
        <v>0.10546</v>
      </c>
      <c r="B30" t="s">
        <v>155</v>
      </c>
    </row>
    <row r="31" spans="1:15" x14ac:dyDescent="0.35">
      <c r="A31">
        <f>A30*C7</f>
        <v>2.3344288127999997</v>
      </c>
      <c r="B31" t="s">
        <v>153</v>
      </c>
    </row>
    <row r="32" spans="1:15" x14ac:dyDescent="0.35">
      <c r="A32">
        <f>A30*C5</f>
        <v>0.62187652799999993</v>
      </c>
      <c r="B32" t="s">
        <v>151</v>
      </c>
    </row>
    <row r="33" spans="1:3" x14ac:dyDescent="0.35">
      <c r="A33">
        <f>A30/C6</f>
        <v>1.453097442680776E-2</v>
      </c>
      <c r="B33" t="s">
        <v>152</v>
      </c>
    </row>
    <row r="35" spans="1:3" x14ac:dyDescent="0.35">
      <c r="A35" t="s">
        <v>245</v>
      </c>
    </row>
    <row r="36" spans="1:3" x14ac:dyDescent="0.35">
      <c r="A36">
        <v>1</v>
      </c>
      <c r="B36" t="s">
        <v>156</v>
      </c>
    </row>
    <row r="37" spans="1:3" x14ac:dyDescent="0.35">
      <c r="A37">
        <v>0.23499999999999999</v>
      </c>
      <c r="B37" t="s">
        <v>248</v>
      </c>
    </row>
    <row r="38" spans="1:3" x14ac:dyDescent="0.35">
      <c r="A38">
        <f>A37/D4*D7</f>
        <v>3.1701499999999991</v>
      </c>
      <c r="B38" t="s">
        <v>153</v>
      </c>
    </row>
    <row r="39" spans="1:3" x14ac:dyDescent="0.35">
      <c r="A39">
        <f>A37/D4*D5</f>
        <v>3.348749999999999</v>
      </c>
      <c r="B39" t="s">
        <v>151</v>
      </c>
    </row>
    <row r="40" spans="1:3" x14ac:dyDescent="0.35">
      <c r="A40">
        <f>A37/D4*D6</f>
        <v>0.2902249999999999</v>
      </c>
      <c r="B40" t="s">
        <v>152</v>
      </c>
    </row>
    <row r="42" spans="1:3" x14ac:dyDescent="0.35">
      <c r="A42" t="s">
        <v>260</v>
      </c>
    </row>
    <row r="43" spans="1:3" x14ac:dyDescent="0.35">
      <c r="A43">
        <v>1</v>
      </c>
      <c r="B43" t="str">
        <f>B36</f>
        <v>t OW</v>
      </c>
    </row>
    <row r="44" spans="1:3" x14ac:dyDescent="0.35">
      <c r="A44">
        <v>0.17406035597096547</v>
      </c>
      <c r="B44" t="str">
        <f>B30</f>
        <v>t wet compost</v>
      </c>
      <c r="C44">
        <f>A44*1000</f>
        <v>174.06035597096547</v>
      </c>
    </row>
    <row r="45" spans="1:3" x14ac:dyDescent="0.35">
      <c r="A45">
        <f>A44*C7</f>
        <v>3.8529443404593806</v>
      </c>
      <c r="B45" t="s">
        <v>153</v>
      </c>
    </row>
    <row r="46" spans="1:3" x14ac:dyDescent="0.35">
      <c r="A46">
        <f>A44*C5</f>
        <v>1.0263991070895893</v>
      </c>
      <c r="B46" t="s">
        <v>151</v>
      </c>
    </row>
    <row r="47" spans="1:3" x14ac:dyDescent="0.35">
      <c r="A47">
        <f>A44*C6</f>
        <v>1.263260439494879</v>
      </c>
      <c r="B47" t="s">
        <v>152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0C0F7-2035-4F45-9371-30E722E9F2B4}">
  <dimension ref="A3:F38"/>
  <sheetViews>
    <sheetView workbookViewId="0">
      <selection activeCell="B43" sqref="B43"/>
    </sheetView>
  </sheetViews>
  <sheetFormatPr defaultRowHeight="14.5" x14ac:dyDescent="0.35"/>
  <cols>
    <col min="2" max="2" width="26.7265625" customWidth="1"/>
  </cols>
  <sheetData>
    <row r="3" spans="1:4" x14ac:dyDescent="0.35">
      <c r="A3" t="s">
        <v>206</v>
      </c>
    </row>
    <row r="9" spans="1:4" x14ac:dyDescent="0.35">
      <c r="B9" t="s">
        <v>210</v>
      </c>
      <c r="C9" t="s">
        <v>211</v>
      </c>
      <c r="D9" t="s">
        <v>29</v>
      </c>
    </row>
    <row r="10" spans="1:4" x14ac:dyDescent="0.35">
      <c r="A10" t="s">
        <v>207</v>
      </c>
    </row>
    <row r="11" spans="1:4" x14ac:dyDescent="0.35">
      <c r="A11" t="s">
        <v>208</v>
      </c>
    </row>
    <row r="12" spans="1:4" x14ac:dyDescent="0.35">
      <c r="A12" t="s">
        <v>209</v>
      </c>
    </row>
    <row r="13" spans="1:4" x14ac:dyDescent="0.35">
      <c r="A13" t="s">
        <v>212</v>
      </c>
    </row>
    <row r="14" spans="1:4" x14ac:dyDescent="0.35">
      <c r="A14" t="s">
        <v>221</v>
      </c>
      <c r="B14">
        <v>0.95</v>
      </c>
      <c r="C14">
        <v>0.95</v>
      </c>
      <c r="D14">
        <v>0</v>
      </c>
    </row>
    <row r="20" spans="1:6" x14ac:dyDescent="0.35">
      <c r="A20" t="s">
        <v>214</v>
      </c>
      <c r="B20" t="s">
        <v>215</v>
      </c>
      <c r="C20" t="s">
        <v>6</v>
      </c>
      <c r="D20" t="s">
        <v>216</v>
      </c>
      <c r="E20" t="s">
        <v>217</v>
      </c>
      <c r="F20" t="s">
        <v>29</v>
      </c>
    </row>
    <row r="21" spans="1:6" x14ac:dyDescent="0.35">
      <c r="A21" t="s">
        <v>213</v>
      </c>
      <c r="B21" t="s">
        <v>218</v>
      </c>
      <c r="C21" t="s">
        <v>229</v>
      </c>
    </row>
    <row r="22" spans="1:6" x14ac:dyDescent="0.35">
      <c r="A22" t="s">
        <v>219</v>
      </c>
      <c r="B22" t="s">
        <v>224</v>
      </c>
      <c r="C22" t="s">
        <v>230</v>
      </c>
      <c r="D22">
        <v>1000</v>
      </c>
      <c r="E22">
        <v>1000</v>
      </c>
      <c r="F22">
        <v>1000</v>
      </c>
    </row>
    <row r="23" spans="1:6" x14ac:dyDescent="0.35">
      <c r="A23" t="s">
        <v>220</v>
      </c>
      <c r="B23" t="s">
        <v>225</v>
      </c>
      <c r="C23" t="s">
        <v>231</v>
      </c>
      <c r="D23">
        <v>1</v>
      </c>
      <c r="E23">
        <v>1</v>
      </c>
      <c r="F23">
        <v>1</v>
      </c>
    </row>
    <row r="24" spans="1:6" x14ac:dyDescent="0.35">
      <c r="A24" t="s">
        <v>221</v>
      </c>
      <c r="B24" t="s">
        <v>226</v>
      </c>
      <c r="C24" t="s">
        <v>231</v>
      </c>
      <c r="D24">
        <v>0.95</v>
      </c>
      <c r="E24">
        <v>0.95</v>
      </c>
    </row>
    <row r="25" spans="1:6" x14ac:dyDescent="0.35">
      <c r="A25" t="s">
        <v>222</v>
      </c>
      <c r="B25" t="s">
        <v>227</v>
      </c>
      <c r="C25" t="s">
        <v>231</v>
      </c>
    </row>
    <row r="26" spans="1:6" x14ac:dyDescent="0.35">
      <c r="A26" t="s">
        <v>223</v>
      </c>
      <c r="B26" t="s">
        <v>228</v>
      </c>
      <c r="C26" t="s">
        <v>231</v>
      </c>
    </row>
    <row r="33" spans="1:4" x14ac:dyDescent="0.35">
      <c r="A33" t="s">
        <v>197</v>
      </c>
    </row>
    <row r="34" spans="1:4" x14ac:dyDescent="0.35">
      <c r="A34" t="s">
        <v>213</v>
      </c>
    </row>
    <row r="35" spans="1:4" x14ac:dyDescent="0.35">
      <c r="A35" t="s">
        <v>232</v>
      </c>
    </row>
    <row r="36" spans="1:4" x14ac:dyDescent="0.35">
      <c r="A36" t="s">
        <v>233</v>
      </c>
    </row>
    <row r="37" spans="1:4" x14ac:dyDescent="0.35">
      <c r="A37" t="s">
        <v>234</v>
      </c>
      <c r="D37">
        <v>44.01</v>
      </c>
    </row>
    <row r="38" spans="1:4" x14ac:dyDescent="0.35">
      <c r="A38" t="s">
        <v>235</v>
      </c>
      <c r="D38">
        <v>12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2DF86-2C4E-4F08-B3FC-39BE88BB811B}">
  <dimension ref="A1:AQ25"/>
  <sheetViews>
    <sheetView topLeftCell="A4" workbookViewId="0">
      <selection activeCell="I7" sqref="I7"/>
    </sheetView>
  </sheetViews>
  <sheetFormatPr defaultRowHeight="14.5" x14ac:dyDescent="0.35"/>
  <cols>
    <col min="36" max="36" width="13.81640625" bestFit="1" customWidth="1"/>
  </cols>
  <sheetData>
    <row r="1" spans="1:43" x14ac:dyDescent="0.35">
      <c r="A1" t="s">
        <v>289</v>
      </c>
    </row>
    <row r="2" spans="1:43" x14ac:dyDescent="0.35">
      <c r="A2" s="27"/>
      <c r="B2" s="27"/>
      <c r="C2" s="27"/>
      <c r="D2" s="27"/>
      <c r="E2" s="27"/>
      <c r="F2" s="28"/>
      <c r="H2" s="27"/>
      <c r="I2" s="27"/>
      <c r="J2" s="27"/>
      <c r="K2" s="27"/>
      <c r="L2" s="27"/>
      <c r="M2" s="28"/>
      <c r="O2" s="27"/>
      <c r="P2" s="27"/>
      <c r="Q2" s="27"/>
      <c r="R2" s="27"/>
      <c r="S2" s="27"/>
      <c r="T2" s="28"/>
      <c r="V2" s="29"/>
      <c r="W2" s="29"/>
      <c r="X2" s="29"/>
      <c r="Y2" s="29"/>
      <c r="Z2" s="29"/>
      <c r="AA2" s="28"/>
    </row>
    <row r="3" spans="1:43" ht="33" x14ac:dyDescent="0.35">
      <c r="A3" s="31" t="s">
        <v>9</v>
      </c>
      <c r="B3" s="31" t="s">
        <v>36</v>
      </c>
      <c r="C3" s="31" t="s">
        <v>13</v>
      </c>
      <c r="D3" s="31" t="s">
        <v>11</v>
      </c>
      <c r="E3" s="31" t="s">
        <v>295</v>
      </c>
      <c r="F3" s="28"/>
      <c r="H3" s="31" t="s">
        <v>9</v>
      </c>
      <c r="I3" s="31" t="s">
        <v>36</v>
      </c>
      <c r="J3" s="31" t="s">
        <v>13</v>
      </c>
      <c r="K3" s="31" t="s">
        <v>11</v>
      </c>
      <c r="L3" s="31" t="s">
        <v>295</v>
      </c>
      <c r="M3" s="28"/>
      <c r="O3" s="31" t="s">
        <v>9</v>
      </c>
      <c r="P3" s="31" t="s">
        <v>36</v>
      </c>
      <c r="Q3" s="31" t="s">
        <v>13</v>
      </c>
      <c r="R3" s="31" t="s">
        <v>11</v>
      </c>
      <c r="S3" s="31" t="s">
        <v>295</v>
      </c>
      <c r="T3" s="28"/>
      <c r="V3" s="31" t="s">
        <v>9</v>
      </c>
      <c r="W3" s="31" t="s">
        <v>36</v>
      </c>
      <c r="X3" s="31" t="s">
        <v>13</v>
      </c>
      <c r="Y3" s="31" t="s">
        <v>11</v>
      </c>
      <c r="Z3" s="31" t="s">
        <v>295</v>
      </c>
      <c r="AA3" s="28"/>
      <c r="AD3" s="31" t="s">
        <v>9</v>
      </c>
      <c r="AE3" s="31" t="s">
        <v>36</v>
      </c>
      <c r="AF3" s="31" t="s">
        <v>13</v>
      </c>
      <c r="AG3" s="31" t="s">
        <v>11</v>
      </c>
      <c r="AH3" s="31" t="s">
        <v>295</v>
      </c>
      <c r="AI3" s="28"/>
      <c r="AJ3" s="28"/>
      <c r="AK3" s="31" t="s">
        <v>9</v>
      </c>
      <c r="AL3" s="31" t="s">
        <v>36</v>
      </c>
      <c r="AM3" s="31" t="s">
        <v>13</v>
      </c>
      <c r="AN3" s="31" t="s">
        <v>11</v>
      </c>
      <c r="AO3" s="31" t="s">
        <v>295</v>
      </c>
      <c r="AP3" s="28"/>
    </row>
    <row r="4" spans="1:43" ht="115.5" x14ac:dyDescent="0.35">
      <c r="A4" s="32">
        <v>0</v>
      </c>
      <c r="B4" s="32" t="s">
        <v>26</v>
      </c>
      <c r="C4" s="32" t="s">
        <v>291</v>
      </c>
      <c r="D4" s="32" t="s">
        <v>16</v>
      </c>
      <c r="E4" s="32">
        <v>1</v>
      </c>
      <c r="F4" s="32">
        <v>109.652385</v>
      </c>
      <c r="H4" s="32">
        <v>0</v>
      </c>
      <c r="I4" s="32" t="s">
        <v>24</v>
      </c>
      <c r="J4" s="32" t="s">
        <v>292</v>
      </c>
      <c r="K4" s="32" t="s">
        <v>16</v>
      </c>
      <c r="L4" s="32">
        <v>1</v>
      </c>
      <c r="M4" s="32">
        <v>120.14858599999999</v>
      </c>
      <c r="O4" s="32">
        <v>5</v>
      </c>
      <c r="P4" s="33" t="s">
        <v>64</v>
      </c>
      <c r="Q4" s="32" t="s">
        <v>297</v>
      </c>
      <c r="R4" s="32" t="s">
        <v>59</v>
      </c>
      <c r="S4" s="32">
        <v>0.20508100000000001</v>
      </c>
      <c r="T4" s="32">
        <v>55.987121000000002</v>
      </c>
      <c r="V4" s="32">
        <v>2</v>
      </c>
      <c r="W4" s="33" t="s">
        <v>319</v>
      </c>
      <c r="X4" s="32" t="s">
        <v>320</v>
      </c>
      <c r="Y4" s="32" t="s">
        <v>18</v>
      </c>
      <c r="Z4" s="32">
        <v>241.6</v>
      </c>
      <c r="AA4" s="32">
        <v>31.178391000000001</v>
      </c>
      <c r="AB4">
        <f>AA4</f>
        <v>31.178391000000001</v>
      </c>
      <c r="AC4">
        <f>AB4/AB25</f>
        <v>0.38223506065419854</v>
      </c>
      <c r="AD4" s="32">
        <v>3</v>
      </c>
      <c r="AE4" s="33" t="s">
        <v>66</v>
      </c>
      <c r="AF4" s="32" t="s">
        <v>296</v>
      </c>
      <c r="AG4" s="32" t="s">
        <v>59</v>
      </c>
      <c r="AH4" s="32">
        <v>4.1479949999999999</v>
      </c>
      <c r="AI4" s="32">
        <v>111.99586499999999</v>
      </c>
      <c r="AJ4" s="32"/>
      <c r="AK4" s="32">
        <v>0</v>
      </c>
      <c r="AL4" s="32" t="s">
        <v>307</v>
      </c>
      <c r="AM4" s="32" t="s">
        <v>330</v>
      </c>
      <c r="AN4" s="32" t="s">
        <v>16</v>
      </c>
      <c r="AO4" s="32">
        <v>1</v>
      </c>
      <c r="AP4" s="32">
        <v>123.592055</v>
      </c>
    </row>
    <row r="5" spans="1:43" ht="115.5" x14ac:dyDescent="0.35">
      <c r="A5" s="32">
        <v>6</v>
      </c>
      <c r="B5" s="33" t="s">
        <v>64</v>
      </c>
      <c r="C5" s="32" t="s">
        <v>297</v>
      </c>
      <c r="D5" s="32" t="s">
        <v>59</v>
      </c>
      <c r="E5" s="32">
        <v>0.22454099999999999</v>
      </c>
      <c r="F5" s="32">
        <v>61.299793000000001</v>
      </c>
      <c r="H5" s="32">
        <v>6</v>
      </c>
      <c r="I5" s="33" t="s">
        <v>64</v>
      </c>
      <c r="J5" s="32" t="s">
        <v>297</v>
      </c>
      <c r="K5" s="32" t="s">
        <v>59</v>
      </c>
      <c r="L5" s="32">
        <v>0.22454099999999999</v>
      </c>
      <c r="M5" s="32">
        <v>61.299793000000001</v>
      </c>
      <c r="O5" s="32">
        <v>0</v>
      </c>
      <c r="P5" s="32" t="s">
        <v>258</v>
      </c>
      <c r="Q5" s="32" t="s">
        <v>290</v>
      </c>
      <c r="R5" s="32" t="s">
        <v>16</v>
      </c>
      <c r="S5" s="32">
        <v>1</v>
      </c>
      <c r="T5" s="32">
        <v>41.264986</v>
      </c>
      <c r="V5" s="32">
        <v>0</v>
      </c>
      <c r="W5" s="32" t="s">
        <v>293</v>
      </c>
      <c r="X5" s="32" t="s">
        <v>294</v>
      </c>
      <c r="Y5" s="32" t="s">
        <v>16</v>
      </c>
      <c r="Z5" s="32">
        <v>1</v>
      </c>
      <c r="AA5" s="32">
        <v>14.457274999999999</v>
      </c>
      <c r="AB5">
        <f t="shared" ref="AB5:AB20" si="0">AA5</f>
        <v>14.457274999999999</v>
      </c>
      <c r="AC5">
        <f>AB5/$AB$25</f>
        <v>0.17724062112504227</v>
      </c>
      <c r="AD5" s="32">
        <v>0</v>
      </c>
      <c r="AE5" s="32" t="s">
        <v>305</v>
      </c>
      <c r="AF5" s="32" t="s">
        <v>329</v>
      </c>
      <c r="AG5" s="32" t="s">
        <v>16</v>
      </c>
      <c r="AH5" s="32">
        <v>1</v>
      </c>
      <c r="AI5" s="32">
        <v>32.620891999999998</v>
      </c>
      <c r="AJ5" s="32">
        <f>AI5/242</f>
        <v>0.13479707438016528</v>
      </c>
      <c r="AK5" s="32">
        <v>3</v>
      </c>
      <c r="AL5" s="33" t="s">
        <v>66</v>
      </c>
      <c r="AM5" s="32" t="s">
        <v>296</v>
      </c>
      <c r="AN5" s="32" t="s">
        <v>59</v>
      </c>
      <c r="AO5" s="32">
        <v>4.1479949999999999</v>
      </c>
      <c r="AP5" s="32">
        <v>111.99586499999999</v>
      </c>
    </row>
    <row r="6" spans="1:43" ht="132" x14ac:dyDescent="0.35">
      <c r="A6" s="32">
        <v>7</v>
      </c>
      <c r="B6" s="33" t="s">
        <v>66</v>
      </c>
      <c r="C6" s="32" t="s">
        <v>296</v>
      </c>
      <c r="D6" s="32" t="s">
        <v>59</v>
      </c>
      <c r="E6" s="32">
        <v>1.6279250000000001</v>
      </c>
      <c r="F6" s="32">
        <v>43.953972999999998</v>
      </c>
      <c r="H6" s="32">
        <v>7</v>
      </c>
      <c r="I6" s="33" t="s">
        <v>66</v>
      </c>
      <c r="J6" s="32" t="s">
        <v>296</v>
      </c>
      <c r="K6" s="32" t="s">
        <v>59</v>
      </c>
      <c r="L6" s="32">
        <v>1.6279250000000001</v>
      </c>
      <c r="M6" s="32">
        <v>43.953972999999998</v>
      </c>
      <c r="O6" s="32">
        <v>1</v>
      </c>
      <c r="P6" s="32" t="s">
        <v>33</v>
      </c>
      <c r="Q6" s="32" t="s">
        <v>300</v>
      </c>
      <c r="R6" s="32" t="s">
        <v>18</v>
      </c>
      <c r="S6" s="32">
        <v>121.109675</v>
      </c>
      <c r="T6" s="32">
        <v>3.2276880000000001</v>
      </c>
      <c r="V6" s="32">
        <v>3</v>
      </c>
      <c r="W6" s="33" t="s">
        <v>321</v>
      </c>
      <c r="X6" s="32" t="s">
        <v>322</v>
      </c>
      <c r="Y6" s="32" t="s">
        <v>18</v>
      </c>
      <c r="Z6" s="32">
        <v>0.35211300000000001</v>
      </c>
      <c r="AA6" s="32">
        <v>8.9861350000000009</v>
      </c>
      <c r="AB6">
        <f t="shared" si="0"/>
        <v>8.9861350000000009</v>
      </c>
      <c r="AC6">
        <f>AB6/$AB$25</f>
        <v>0.11016655275032687</v>
      </c>
      <c r="AD6" s="32">
        <v>1</v>
      </c>
      <c r="AE6" s="32" t="s">
        <v>298</v>
      </c>
      <c r="AF6" s="32" t="s">
        <v>299</v>
      </c>
      <c r="AG6" s="32" t="s">
        <v>18</v>
      </c>
      <c r="AH6" s="32">
        <v>32</v>
      </c>
      <c r="AI6" s="32">
        <v>3.325529</v>
      </c>
      <c r="AJ6" s="32"/>
      <c r="AK6" s="32">
        <v>1</v>
      </c>
      <c r="AL6" s="32" t="s">
        <v>298</v>
      </c>
      <c r="AM6" s="32" t="s">
        <v>299</v>
      </c>
      <c r="AN6" s="32" t="s">
        <v>18</v>
      </c>
      <c r="AO6" s="32">
        <v>77.400000000000006</v>
      </c>
      <c r="AP6" s="32">
        <v>8.0436239999999994</v>
      </c>
      <c r="AQ6">
        <f>AP6/AP4</f>
        <v>6.508204754747382E-2</v>
      </c>
    </row>
    <row r="7" spans="1:43" ht="132" x14ac:dyDescent="0.35">
      <c r="A7" s="32">
        <v>3</v>
      </c>
      <c r="B7" s="32" t="s">
        <v>298</v>
      </c>
      <c r="C7" s="32" t="s">
        <v>299</v>
      </c>
      <c r="D7" s="32" t="s">
        <v>18</v>
      </c>
      <c r="E7" s="32">
        <v>32</v>
      </c>
      <c r="F7" s="32">
        <v>3.325529</v>
      </c>
      <c r="H7" s="32">
        <v>3</v>
      </c>
      <c r="I7" s="32" t="s">
        <v>298</v>
      </c>
      <c r="J7" s="32" t="s">
        <v>299</v>
      </c>
      <c r="K7" s="32" t="s">
        <v>18</v>
      </c>
      <c r="L7" s="32">
        <v>133</v>
      </c>
      <c r="M7" s="32">
        <v>13.821731</v>
      </c>
      <c r="N7">
        <f>M7/M4</f>
        <v>0.11503864889429494</v>
      </c>
      <c r="O7" s="32">
        <v>2</v>
      </c>
      <c r="P7" s="32" t="s">
        <v>177</v>
      </c>
      <c r="Q7" s="32" t="s">
        <v>303</v>
      </c>
      <c r="R7" s="32" t="s">
        <v>18</v>
      </c>
      <c r="S7" s="32">
        <v>4.3474690000000002</v>
      </c>
      <c r="T7" s="32">
        <v>1.9750760000000001</v>
      </c>
      <c r="V7" s="32">
        <v>8</v>
      </c>
      <c r="W7" s="32" t="s">
        <v>64</v>
      </c>
      <c r="X7" s="32" t="s">
        <v>297</v>
      </c>
      <c r="Y7" s="32" t="s">
        <v>59</v>
      </c>
      <c r="Z7" s="32">
        <v>1.6670000000000001E-3</v>
      </c>
      <c r="AA7" s="32">
        <v>0.45500000000000002</v>
      </c>
      <c r="AB7">
        <f t="shared" si="0"/>
        <v>0.45500000000000002</v>
      </c>
      <c r="AC7">
        <f t="shared" ref="AC7:AC11" si="1">AB7/$AB$25</f>
        <v>5.5781246889122765E-3</v>
      </c>
      <c r="AD7" s="32">
        <v>5</v>
      </c>
      <c r="AE7" s="32" t="s">
        <v>64</v>
      </c>
      <c r="AF7" s="32" t="s">
        <v>297</v>
      </c>
      <c r="AG7" s="32" t="s">
        <v>59</v>
      </c>
      <c r="AH7" s="32">
        <v>9.2309999999999996E-3</v>
      </c>
      <c r="AI7" s="32">
        <v>2.5199379999999998</v>
      </c>
      <c r="AJ7" s="32">
        <f>AI7/242</f>
        <v>1.0412966942148759E-2</v>
      </c>
      <c r="AK7" s="32">
        <v>5</v>
      </c>
      <c r="AL7" s="32" t="s">
        <v>64</v>
      </c>
      <c r="AM7" s="32" t="s">
        <v>297</v>
      </c>
      <c r="AN7" s="32" t="s">
        <v>59</v>
      </c>
      <c r="AO7" s="32">
        <v>9.2309999999999996E-3</v>
      </c>
      <c r="AP7" s="32">
        <v>2.5199379999999998</v>
      </c>
    </row>
    <row r="8" spans="1:43" ht="115.5" x14ac:dyDescent="0.35">
      <c r="A8" s="32">
        <v>2</v>
      </c>
      <c r="B8" s="32" t="s">
        <v>186</v>
      </c>
      <c r="C8" s="32" t="s">
        <v>301</v>
      </c>
      <c r="D8" s="32" t="s">
        <v>18</v>
      </c>
      <c r="E8" s="32">
        <v>2.532006</v>
      </c>
      <c r="F8" s="32">
        <v>2.0815630000000001</v>
      </c>
      <c r="H8" s="32">
        <v>2</v>
      </c>
      <c r="I8" s="32" t="s">
        <v>186</v>
      </c>
      <c r="J8" s="32" t="s">
        <v>301</v>
      </c>
      <c r="K8" s="32" t="s">
        <v>18</v>
      </c>
      <c r="L8" s="32">
        <v>2.532006</v>
      </c>
      <c r="M8" s="32">
        <v>2.0815630000000001</v>
      </c>
      <c r="O8" s="32">
        <v>9</v>
      </c>
      <c r="P8" s="32" t="s">
        <v>262</v>
      </c>
      <c r="Q8" s="32" t="s">
        <v>318</v>
      </c>
      <c r="R8" s="32" t="s">
        <v>18</v>
      </c>
      <c r="S8" s="32">
        <v>1.3264389999999999</v>
      </c>
      <c r="T8" s="32">
        <v>0.23336699999999999</v>
      </c>
      <c r="V8" s="32">
        <v>1</v>
      </c>
      <c r="W8" s="32" t="s">
        <v>33</v>
      </c>
      <c r="X8" s="32" t="s">
        <v>300</v>
      </c>
      <c r="Y8" s="32" t="s">
        <v>18</v>
      </c>
      <c r="Z8" s="32">
        <v>2.1349999999999998</v>
      </c>
      <c r="AA8" s="32">
        <v>5.6899999999999999E-2</v>
      </c>
      <c r="AB8">
        <f t="shared" si="0"/>
        <v>5.6899999999999999E-2</v>
      </c>
      <c r="AC8">
        <f t="shared" si="1"/>
        <v>6.9757207648155723E-4</v>
      </c>
      <c r="AD8" s="32">
        <v>6</v>
      </c>
      <c r="AE8" s="32" t="s">
        <v>33</v>
      </c>
      <c r="AF8" s="32" t="s">
        <v>300</v>
      </c>
      <c r="AG8" s="32" t="s">
        <v>18</v>
      </c>
      <c r="AH8" s="32">
        <v>64.423795999999996</v>
      </c>
      <c r="AI8" s="32">
        <v>1.7169559999999999</v>
      </c>
      <c r="AJ8" s="32"/>
      <c r="AK8" s="32">
        <v>6</v>
      </c>
      <c r="AL8" s="32" t="s">
        <v>33</v>
      </c>
      <c r="AM8" s="32" t="s">
        <v>300</v>
      </c>
      <c r="AN8" s="32" t="s">
        <v>18</v>
      </c>
      <c r="AO8" s="32">
        <v>64.423795999999996</v>
      </c>
      <c r="AP8" s="32">
        <v>1.7169559999999999</v>
      </c>
    </row>
    <row r="9" spans="1:43" ht="115.5" x14ac:dyDescent="0.35">
      <c r="A9" s="32">
        <v>4</v>
      </c>
      <c r="B9" s="32" t="s">
        <v>311</v>
      </c>
      <c r="C9" s="32" t="s">
        <v>312</v>
      </c>
      <c r="D9" s="32" t="s">
        <v>18</v>
      </c>
      <c r="E9" s="32">
        <v>-7.2891550000000001</v>
      </c>
      <c r="F9" s="32">
        <v>1.4787840000000001</v>
      </c>
      <c r="H9" s="32">
        <v>4</v>
      </c>
      <c r="I9" s="32" t="s">
        <v>311</v>
      </c>
      <c r="J9" s="32" t="s">
        <v>312</v>
      </c>
      <c r="K9" s="32" t="s">
        <v>18</v>
      </c>
      <c r="L9" s="32">
        <v>-7.2891550000000001</v>
      </c>
      <c r="M9" s="32">
        <v>1.4787840000000001</v>
      </c>
      <c r="O9" s="32">
        <v>4</v>
      </c>
      <c r="P9" s="32" t="s">
        <v>311</v>
      </c>
      <c r="Q9" s="32" t="s">
        <v>312</v>
      </c>
      <c r="R9" s="32" t="s">
        <v>18</v>
      </c>
      <c r="S9" s="32">
        <v>-6.4297999999999994E-2</v>
      </c>
      <c r="T9" s="32">
        <v>1.3044E-2</v>
      </c>
      <c r="V9" s="32">
        <v>16</v>
      </c>
      <c r="W9" s="32" t="s">
        <v>311</v>
      </c>
      <c r="X9" s="32" t="s">
        <v>312</v>
      </c>
      <c r="Y9" s="32" t="s">
        <v>18</v>
      </c>
      <c r="Z9" s="32">
        <v>-0.22500000000000001</v>
      </c>
      <c r="AA9" s="32">
        <v>4.5647E-2</v>
      </c>
      <c r="AB9">
        <f t="shared" si="0"/>
        <v>4.5647E-2</v>
      </c>
      <c r="AC9">
        <f t="shared" si="1"/>
        <v>5.596146322522608E-4</v>
      </c>
      <c r="AD9" s="32">
        <v>2</v>
      </c>
      <c r="AE9" s="32" t="s">
        <v>186</v>
      </c>
      <c r="AF9" s="32" t="s">
        <v>301</v>
      </c>
      <c r="AG9" s="32" t="s">
        <v>18</v>
      </c>
      <c r="AH9" s="32">
        <v>1.223395</v>
      </c>
      <c r="AI9" s="32">
        <v>1.005754</v>
      </c>
      <c r="AJ9" s="32"/>
      <c r="AK9" s="32">
        <v>2</v>
      </c>
      <c r="AL9" s="32" t="s">
        <v>186</v>
      </c>
      <c r="AM9" s="32" t="s">
        <v>301</v>
      </c>
      <c r="AN9" s="32" t="s">
        <v>18</v>
      </c>
      <c r="AO9" s="32">
        <v>1.223395</v>
      </c>
      <c r="AP9" s="32">
        <v>1.005754</v>
      </c>
    </row>
    <row r="10" spans="1:43" ht="132" x14ac:dyDescent="0.35">
      <c r="A10" s="32">
        <v>1</v>
      </c>
      <c r="B10" s="32" t="s">
        <v>33</v>
      </c>
      <c r="C10" s="32" t="s">
        <v>300</v>
      </c>
      <c r="D10" s="32" t="s">
        <v>18</v>
      </c>
      <c r="E10" s="32">
        <v>1.6772119999999999</v>
      </c>
      <c r="F10" s="32">
        <v>4.4699000000000003E-2</v>
      </c>
      <c r="H10" s="32">
        <v>1</v>
      </c>
      <c r="I10" s="32" t="s">
        <v>33</v>
      </c>
      <c r="J10" s="32" t="s">
        <v>300</v>
      </c>
      <c r="K10" s="32" t="s">
        <v>18</v>
      </c>
      <c r="L10" s="32">
        <v>1.6772119999999999</v>
      </c>
      <c r="M10" s="32">
        <v>4.4699000000000003E-2</v>
      </c>
      <c r="O10" s="32">
        <v>3</v>
      </c>
      <c r="P10" s="32" t="s">
        <v>298</v>
      </c>
      <c r="Q10" s="32" t="s">
        <v>299</v>
      </c>
      <c r="R10" s="32" t="s">
        <v>18</v>
      </c>
      <c r="S10" s="32">
        <v>0</v>
      </c>
      <c r="T10" s="32">
        <v>0</v>
      </c>
      <c r="V10" s="32">
        <v>10</v>
      </c>
      <c r="W10" s="32" t="s">
        <v>66</v>
      </c>
      <c r="X10" s="32" t="s">
        <v>296</v>
      </c>
      <c r="Y10" s="32" t="s">
        <v>59</v>
      </c>
      <c r="Z10" s="32">
        <v>1.6670000000000001E-3</v>
      </c>
      <c r="AA10" s="32">
        <v>4.4999999999999998E-2</v>
      </c>
      <c r="AB10">
        <f t="shared" si="0"/>
        <v>4.4999999999999998E-2</v>
      </c>
      <c r="AC10">
        <f t="shared" si="1"/>
        <v>5.5168266154077459E-4</v>
      </c>
      <c r="AD10" s="32">
        <v>8</v>
      </c>
      <c r="AE10" s="32" t="s">
        <v>311</v>
      </c>
      <c r="AF10" s="32" t="s">
        <v>312</v>
      </c>
      <c r="AG10" s="32" t="s">
        <v>18</v>
      </c>
      <c r="AH10" s="32">
        <v>-2.2979660000000002</v>
      </c>
      <c r="AI10" s="32">
        <v>0.46619899999999997</v>
      </c>
      <c r="AJ10" s="32"/>
      <c r="AK10" s="32">
        <v>8</v>
      </c>
      <c r="AL10" s="32" t="s">
        <v>311</v>
      </c>
      <c r="AM10" s="32" t="s">
        <v>312</v>
      </c>
      <c r="AN10" s="32" t="s">
        <v>18</v>
      </c>
      <c r="AO10" s="32">
        <v>-2.2979660000000002</v>
      </c>
      <c r="AP10" s="32">
        <v>0.46619899999999997</v>
      </c>
    </row>
    <row r="11" spans="1:43" ht="132" x14ac:dyDescent="0.35">
      <c r="A11" s="32">
        <v>5</v>
      </c>
      <c r="B11" s="32" t="s">
        <v>62</v>
      </c>
      <c r="C11" s="32" t="s">
        <v>313</v>
      </c>
      <c r="D11" s="32" t="s">
        <v>59</v>
      </c>
      <c r="E11" s="32">
        <v>5.6099999999999998E-4</v>
      </c>
      <c r="F11" s="32">
        <v>0</v>
      </c>
      <c r="H11" s="32">
        <v>5</v>
      </c>
      <c r="I11" s="32" t="s">
        <v>62</v>
      </c>
      <c r="J11" s="32" t="s">
        <v>313</v>
      </c>
      <c r="K11" s="32" t="s">
        <v>59</v>
      </c>
      <c r="L11" s="32">
        <v>5.6099999999999998E-4</v>
      </c>
      <c r="M11" s="32">
        <v>0</v>
      </c>
      <c r="O11" s="32">
        <v>7</v>
      </c>
      <c r="P11" s="32" t="s">
        <v>173</v>
      </c>
      <c r="Q11" s="32" t="s">
        <v>315</v>
      </c>
      <c r="R11" s="32" t="s">
        <v>67</v>
      </c>
      <c r="S11" s="32">
        <v>1.0263990000000001</v>
      </c>
      <c r="T11" s="32">
        <v>-1.7338340000000001</v>
      </c>
      <c r="U11">
        <f>T11/T5</f>
        <v>-4.2017074718018806E-2</v>
      </c>
      <c r="V11" s="32">
        <v>4</v>
      </c>
      <c r="W11" s="32" t="s">
        <v>73</v>
      </c>
      <c r="X11" s="32" t="s">
        <v>323</v>
      </c>
      <c r="Y11" s="32" t="s">
        <v>18</v>
      </c>
      <c r="Z11" s="32">
        <v>225</v>
      </c>
      <c r="AA11" s="32">
        <v>1.7243000000000001E-2</v>
      </c>
      <c r="AB11">
        <f t="shared" si="0"/>
        <v>1.7243000000000001E-2</v>
      </c>
      <c r="AC11">
        <f t="shared" si="1"/>
        <v>2.1139253628772394E-4</v>
      </c>
      <c r="AD11" s="32">
        <v>7</v>
      </c>
      <c r="AE11" s="32" t="s">
        <v>63</v>
      </c>
      <c r="AF11" s="32" t="s">
        <v>302</v>
      </c>
      <c r="AG11" s="32" t="s">
        <v>59</v>
      </c>
      <c r="AH11" s="32">
        <v>38.489348</v>
      </c>
      <c r="AI11" s="32">
        <v>0</v>
      </c>
      <c r="AJ11" s="32">
        <f>SUM(AI4:AI11)+(-AI12)</f>
        <v>242.06047799999999</v>
      </c>
      <c r="AK11" s="32">
        <v>7</v>
      </c>
      <c r="AL11" s="32" t="s">
        <v>63</v>
      </c>
      <c r="AM11" s="32" t="s">
        <v>302</v>
      </c>
      <c r="AN11" s="32" t="s">
        <v>59</v>
      </c>
      <c r="AO11" s="32">
        <v>38.489348</v>
      </c>
      <c r="AP11" s="32">
        <v>0</v>
      </c>
    </row>
    <row r="12" spans="1:43" ht="115.5" x14ac:dyDescent="0.35">
      <c r="A12" s="32">
        <v>8</v>
      </c>
      <c r="B12" s="32" t="s">
        <v>184</v>
      </c>
      <c r="C12" s="32" t="s">
        <v>314</v>
      </c>
      <c r="D12" s="32" t="s">
        <v>59</v>
      </c>
      <c r="E12" s="32">
        <v>1.085E-3</v>
      </c>
      <c r="F12" s="32">
        <v>0</v>
      </c>
      <c r="H12" s="32">
        <v>8</v>
      </c>
      <c r="I12" s="32" t="s">
        <v>184</v>
      </c>
      <c r="J12" s="32" t="s">
        <v>314</v>
      </c>
      <c r="K12" s="32" t="s">
        <v>59</v>
      </c>
      <c r="L12" s="32">
        <v>1.085E-3</v>
      </c>
      <c r="M12" s="32">
        <v>0</v>
      </c>
      <c r="O12" s="32">
        <v>8</v>
      </c>
      <c r="P12" s="33" t="s">
        <v>185</v>
      </c>
      <c r="Q12" s="32" t="s">
        <v>317</v>
      </c>
      <c r="R12" s="32" t="s">
        <v>67</v>
      </c>
      <c r="S12" s="32">
        <v>1.26326</v>
      </c>
      <c r="T12" s="32">
        <v>-6.7401629999999999</v>
      </c>
      <c r="U12">
        <f>T12/T5</f>
        <v>-0.16333855050865642</v>
      </c>
      <c r="V12" s="32">
        <v>7</v>
      </c>
      <c r="W12" s="32" t="s">
        <v>63</v>
      </c>
      <c r="X12" s="32" t="s">
        <v>302</v>
      </c>
      <c r="Y12" s="32" t="s">
        <v>59</v>
      </c>
      <c r="Z12" s="32">
        <v>0</v>
      </c>
      <c r="AA12" s="32">
        <v>0</v>
      </c>
      <c r="AB12">
        <f t="shared" si="0"/>
        <v>0</v>
      </c>
      <c r="AD12" s="32">
        <v>4</v>
      </c>
      <c r="AE12" s="33" t="s">
        <v>177</v>
      </c>
      <c r="AF12" s="32" t="s">
        <v>303</v>
      </c>
      <c r="AG12" s="32" t="s">
        <v>67</v>
      </c>
      <c r="AH12" s="32">
        <v>194.60358600000001</v>
      </c>
      <c r="AI12" s="32">
        <v>-88.409345000000002</v>
      </c>
      <c r="AJ12" s="32">
        <f>AI12/AJ11</f>
        <v>-0.36523659595516461</v>
      </c>
      <c r="AK12" s="32">
        <v>4</v>
      </c>
      <c r="AL12" s="32" t="s">
        <v>33</v>
      </c>
      <c r="AM12" s="32" t="s">
        <v>300</v>
      </c>
      <c r="AN12" s="32" t="s">
        <v>67</v>
      </c>
      <c r="AO12" s="32">
        <v>80.908165999999994</v>
      </c>
      <c r="AP12" s="32">
        <v>-2.1562800000000002</v>
      </c>
    </row>
    <row r="13" spans="1:43" ht="132" x14ac:dyDescent="0.35">
      <c r="A13" s="32">
        <v>10</v>
      </c>
      <c r="B13" s="32" t="s">
        <v>173</v>
      </c>
      <c r="C13" s="32" t="s">
        <v>315</v>
      </c>
      <c r="D13" s="32" t="s">
        <v>67</v>
      </c>
      <c r="E13" s="32">
        <v>0.168736</v>
      </c>
      <c r="F13" s="32">
        <v>-0.28503600000000001</v>
      </c>
      <c r="H13" s="32">
        <v>10</v>
      </c>
      <c r="I13" s="32" t="s">
        <v>173</v>
      </c>
      <c r="J13" s="32" t="s">
        <v>315</v>
      </c>
      <c r="K13" s="32" t="s">
        <v>67</v>
      </c>
      <c r="L13" s="32">
        <v>0.168736</v>
      </c>
      <c r="M13" s="32">
        <v>-0.28503600000000001</v>
      </c>
      <c r="O13" s="32">
        <v>6</v>
      </c>
      <c r="P13" s="33" t="s">
        <v>172</v>
      </c>
      <c r="Q13" s="32" t="s">
        <v>316</v>
      </c>
      <c r="R13" s="32" t="s">
        <v>67</v>
      </c>
      <c r="S13" s="32">
        <v>3.8529439999999999</v>
      </c>
      <c r="T13" s="32">
        <v>-11.697312</v>
      </c>
      <c r="U13">
        <f>T13/T5</f>
        <v>-0.28346821685581086</v>
      </c>
      <c r="V13" s="32">
        <v>6</v>
      </c>
      <c r="W13" s="32" t="s">
        <v>62</v>
      </c>
      <c r="X13" s="32" t="s">
        <v>313</v>
      </c>
      <c r="Y13" s="32" t="s">
        <v>59</v>
      </c>
      <c r="Z13" s="32">
        <v>0.14560000000000001</v>
      </c>
      <c r="AA13" s="32">
        <v>0</v>
      </c>
      <c r="AB13">
        <f t="shared" si="0"/>
        <v>0</v>
      </c>
    </row>
    <row r="14" spans="1:43" ht="115.5" x14ac:dyDescent="0.35">
      <c r="A14" s="32">
        <v>9</v>
      </c>
      <c r="B14" s="32" t="s">
        <v>172</v>
      </c>
      <c r="C14" s="32" t="s">
        <v>316</v>
      </c>
      <c r="D14" s="32" t="s">
        <v>67</v>
      </c>
      <c r="E14" s="32">
        <v>0.29528799999999999</v>
      </c>
      <c r="F14" s="32">
        <v>-0.89647699999999997</v>
      </c>
      <c r="H14" s="32">
        <v>9</v>
      </c>
      <c r="I14" s="32" t="s">
        <v>172</v>
      </c>
      <c r="J14" s="32" t="s">
        <v>316</v>
      </c>
      <c r="K14" s="32" t="s">
        <v>67</v>
      </c>
      <c r="L14" s="32">
        <v>0.29528799999999999</v>
      </c>
      <c r="M14" s="32">
        <v>-0.89647699999999997</v>
      </c>
      <c r="V14" s="32">
        <v>9</v>
      </c>
      <c r="W14" s="32" t="s">
        <v>65</v>
      </c>
      <c r="X14" s="32" t="s">
        <v>324</v>
      </c>
      <c r="Y14" s="32" t="s">
        <v>59</v>
      </c>
      <c r="Z14" s="32">
        <v>8.9599999999999999E-2</v>
      </c>
      <c r="AA14" s="32">
        <v>0</v>
      </c>
      <c r="AB14">
        <f t="shared" si="0"/>
        <v>0</v>
      </c>
    </row>
    <row r="15" spans="1:43" ht="132" x14ac:dyDescent="0.35">
      <c r="A15" s="32">
        <v>11</v>
      </c>
      <c r="B15" s="32" t="s">
        <v>185</v>
      </c>
      <c r="C15" s="32" t="s">
        <v>317</v>
      </c>
      <c r="D15" s="32" t="s">
        <v>67</v>
      </c>
      <c r="E15" s="32">
        <v>0.253104</v>
      </c>
      <c r="F15" s="32">
        <v>-1.350444</v>
      </c>
      <c r="H15" s="32">
        <v>11</v>
      </c>
      <c r="I15" s="32" t="s">
        <v>185</v>
      </c>
      <c r="J15" s="32" t="s">
        <v>317</v>
      </c>
      <c r="K15" s="32" t="s">
        <v>67</v>
      </c>
      <c r="L15" s="32">
        <v>0.253104</v>
      </c>
      <c r="M15" s="32">
        <v>-1.350444</v>
      </c>
      <c r="V15" s="32">
        <v>5</v>
      </c>
      <c r="W15" s="32" t="s">
        <v>298</v>
      </c>
      <c r="X15" s="32" t="s">
        <v>299</v>
      </c>
      <c r="Y15" s="32" t="s">
        <v>18</v>
      </c>
      <c r="Z15" s="32">
        <v>0</v>
      </c>
      <c r="AA15" s="32">
        <v>0</v>
      </c>
      <c r="AB15">
        <f t="shared" si="0"/>
        <v>0</v>
      </c>
    </row>
    <row r="16" spans="1:43" ht="115.5" x14ac:dyDescent="0.35">
      <c r="V16" s="32">
        <v>11</v>
      </c>
      <c r="W16" s="32" t="s">
        <v>184</v>
      </c>
      <c r="X16" s="32" t="s">
        <v>314</v>
      </c>
      <c r="Y16" s="32" t="s">
        <v>59</v>
      </c>
      <c r="Z16" s="32">
        <v>0.42599999999999999</v>
      </c>
      <c r="AA16" s="32">
        <v>0</v>
      </c>
      <c r="AB16">
        <f t="shared" si="0"/>
        <v>0</v>
      </c>
    </row>
    <row r="17" spans="22:30" ht="115.5" x14ac:dyDescent="0.35">
      <c r="V17" s="32">
        <v>12</v>
      </c>
      <c r="W17" s="32" t="s">
        <v>75</v>
      </c>
      <c r="X17" s="32" t="s">
        <v>325</v>
      </c>
      <c r="Y17" s="32" t="s">
        <v>59</v>
      </c>
      <c r="Z17" s="32">
        <v>2.97E-3</v>
      </c>
      <c r="AA17" s="32">
        <v>0</v>
      </c>
      <c r="AB17">
        <f t="shared" si="0"/>
        <v>0</v>
      </c>
    </row>
    <row r="18" spans="22:30" ht="115.5" x14ac:dyDescent="0.35">
      <c r="V18" s="32">
        <v>13</v>
      </c>
      <c r="W18" s="32" t="s">
        <v>76</v>
      </c>
      <c r="X18" s="32" t="s">
        <v>326</v>
      </c>
      <c r="Y18" s="32" t="s">
        <v>59</v>
      </c>
      <c r="Z18" s="32">
        <v>9.2999999999999997E-5</v>
      </c>
      <c r="AA18" s="32">
        <v>0</v>
      </c>
      <c r="AB18">
        <f t="shared" si="0"/>
        <v>0</v>
      </c>
    </row>
    <row r="19" spans="22:30" ht="115.5" x14ac:dyDescent="0.35">
      <c r="V19" s="32">
        <v>14</v>
      </c>
      <c r="W19" s="32" t="s">
        <v>77</v>
      </c>
      <c r="X19" s="32" t="s">
        <v>327</v>
      </c>
      <c r="Y19" s="32" t="s">
        <v>59</v>
      </c>
      <c r="Z19" s="32">
        <v>1.0900000000000001E-4</v>
      </c>
      <c r="AA19" s="32">
        <v>0</v>
      </c>
      <c r="AB19">
        <f t="shared" si="0"/>
        <v>0</v>
      </c>
    </row>
    <row r="20" spans="22:30" ht="115.5" x14ac:dyDescent="0.35">
      <c r="V20" s="32">
        <v>15</v>
      </c>
      <c r="W20" s="32" t="s">
        <v>78</v>
      </c>
      <c r="X20" s="32" t="s">
        <v>328</v>
      </c>
      <c r="Y20" s="32" t="s">
        <v>59</v>
      </c>
      <c r="Z20" s="32">
        <v>6.9999999999999994E-5</v>
      </c>
      <c r="AA20" s="32">
        <v>0</v>
      </c>
      <c r="AB20">
        <f t="shared" si="0"/>
        <v>0</v>
      </c>
    </row>
    <row r="21" spans="22:30" ht="115.5" x14ac:dyDescent="0.35">
      <c r="V21" s="32">
        <v>20</v>
      </c>
      <c r="W21" s="32" t="s">
        <v>185</v>
      </c>
      <c r="X21" s="32" t="s">
        <v>317</v>
      </c>
      <c r="Y21" s="32" t="s">
        <v>67</v>
      </c>
      <c r="Z21" s="32">
        <v>0.29022500000000001</v>
      </c>
      <c r="AA21" s="32">
        <v>-1.5485040000000001</v>
      </c>
      <c r="AB21">
        <f>-AA21</f>
        <v>1.5485040000000001</v>
      </c>
    </row>
    <row r="22" spans="22:30" ht="132" x14ac:dyDescent="0.35">
      <c r="V22" s="32">
        <v>19</v>
      </c>
      <c r="W22" s="32" t="s">
        <v>173</v>
      </c>
      <c r="X22" s="32" t="s">
        <v>315</v>
      </c>
      <c r="Y22" s="32" t="s">
        <v>67</v>
      </c>
      <c r="Z22" s="32">
        <v>3.3487499999999999</v>
      </c>
      <c r="AA22" s="32">
        <v>-5.6568420000000001</v>
      </c>
      <c r="AB22">
        <f>-AA22</f>
        <v>5.6568420000000001</v>
      </c>
    </row>
    <row r="23" spans="22:30" ht="115.5" x14ac:dyDescent="0.35">
      <c r="V23" s="32">
        <v>17</v>
      </c>
      <c r="W23" s="33" t="s">
        <v>177</v>
      </c>
      <c r="X23" s="32" t="s">
        <v>303</v>
      </c>
      <c r="Y23" s="32" t="s">
        <v>67</v>
      </c>
      <c r="Z23" s="32">
        <v>20.905142000000001</v>
      </c>
      <c r="AA23" s="32">
        <v>-9.497306</v>
      </c>
      <c r="AB23">
        <f>-AA23</f>
        <v>9.497306</v>
      </c>
    </row>
    <row r="24" spans="22:30" ht="115.5" x14ac:dyDescent="0.35">
      <c r="V24" s="32">
        <v>18</v>
      </c>
      <c r="W24" s="33" t="s">
        <v>172</v>
      </c>
      <c r="X24" s="32" t="s">
        <v>316</v>
      </c>
      <c r="Y24" s="32" t="s">
        <v>67</v>
      </c>
      <c r="Z24" s="32">
        <v>3.17015</v>
      </c>
      <c r="AA24" s="32">
        <v>-9.6243890000000007</v>
      </c>
      <c r="AB24">
        <f>-AA24</f>
        <v>9.6243890000000007</v>
      </c>
      <c r="AD24">
        <f>AB24/AB25</f>
        <v>0.11799130087163899</v>
      </c>
    </row>
    <row r="25" spans="22:30" x14ac:dyDescent="0.35">
      <c r="AB25">
        <f>SUM(AB4:AB24)</f>
        <v>81.568632000000008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LCI</vt:lpstr>
      <vt:lpstr>Comparing models</vt:lpstr>
      <vt:lpstr>Transportation</vt:lpstr>
      <vt:lpstr>Landfill Equations (WARM)</vt:lpstr>
      <vt:lpstr>Natural gas credit</vt:lpstr>
      <vt:lpstr>Fertilizer credit for compost</vt:lpstr>
      <vt:lpstr>Boldrin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Sadie MacDonald</dc:creator>
  <cp:lastModifiedBy>Sadie MacDonald</cp:lastModifiedBy>
  <dcterms:created xsi:type="dcterms:W3CDTF">2015-06-05T18:17:20Z</dcterms:created>
  <dcterms:modified xsi:type="dcterms:W3CDTF">2025-10-14T13:55:24Z</dcterms:modified>
</cp:coreProperties>
</file>