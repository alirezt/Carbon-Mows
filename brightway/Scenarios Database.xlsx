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macdo55\"/>
    </mc:Choice>
  </mc:AlternateContent>
  <xr:revisionPtr revIDLastSave="0" documentId="13_ncr:1_{7014B90D-B60E-4D27-8666-E0C19057917C}" xr6:coauthVersionLast="47" xr6:coauthVersionMax="47" xr10:uidLastSave="{00000000-0000-0000-0000-000000000000}"/>
  <bookViews>
    <workbookView xWindow="-28920" yWindow="1815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59" i="1"/>
  <c r="C41" i="2"/>
  <c r="B41" i="2"/>
  <c r="B37" i="2"/>
  <c r="B38" i="2"/>
  <c r="B36" i="2"/>
  <c r="C37" i="2"/>
  <c r="C38" i="2"/>
  <c r="C36" i="2"/>
  <c r="H31" i="2"/>
  <c r="H25" i="2"/>
  <c r="C29" i="2"/>
  <c r="C40" i="2"/>
  <c r="B40" i="2" s="1"/>
  <c r="C39" i="2"/>
  <c r="B39" i="2" s="1"/>
  <c r="C33" i="2"/>
  <c r="H9" i="2"/>
  <c r="H24" i="2"/>
  <c r="C23" i="2"/>
  <c r="E23" i="2" s="1"/>
  <c r="C8" i="2"/>
  <c r="C22" i="2" s="1"/>
  <c r="E22" i="2" s="1"/>
  <c r="B8" i="2"/>
  <c r="C16" i="2" s="1"/>
  <c r="B2" i="2"/>
  <c r="H11" i="2" s="1"/>
  <c r="J11" i="2" s="1"/>
  <c r="F59" i="1"/>
  <c r="F34" i="1"/>
  <c r="F11" i="1"/>
  <c r="C32" i="2" l="1"/>
  <c r="B32" i="2" s="1"/>
  <c r="C14" i="2"/>
  <c r="J6" i="2"/>
  <c r="C31" i="2"/>
  <c r="C27" i="2"/>
  <c r="B27" i="2" s="1"/>
  <c r="J7" i="2"/>
  <c r="C19" i="2"/>
  <c r="E19" i="2" s="1"/>
  <c r="C17" i="2"/>
  <c r="E17" i="2" s="1"/>
  <c r="H17" i="2" s="1"/>
  <c r="C30" i="2"/>
  <c r="B30" i="2" s="1"/>
  <c r="C18" i="2"/>
  <c r="E18" i="2" s="1"/>
  <c r="J8" i="2"/>
  <c r="B29" i="2" s="1"/>
  <c r="E16" i="2"/>
  <c r="C15" i="2"/>
  <c r="E15" i="2" s="1"/>
  <c r="H30" i="2"/>
  <c r="H10" i="2"/>
  <c r="J10" i="2" s="1"/>
  <c r="C20" i="2"/>
  <c r="E20" i="2" s="1"/>
  <c r="C21" i="2"/>
  <c r="E21" i="2" s="1"/>
  <c r="H21" i="2" s="1"/>
  <c r="C26" i="2"/>
  <c r="B26" i="2" s="1"/>
  <c r="C28" i="2"/>
  <c r="B28" i="2" s="1"/>
  <c r="C34" i="2"/>
  <c r="B31" i="2"/>
  <c r="H20" i="2"/>
  <c r="H16" i="2"/>
  <c r="H22" i="2" l="1"/>
  <c r="H19" i="2"/>
  <c r="E14" i="2"/>
  <c r="H14" i="2" s="1"/>
  <c r="H26" i="2" s="1"/>
  <c r="C24" i="2"/>
  <c r="E24" i="2" s="1"/>
  <c r="H18" i="2"/>
  <c r="H15" i="2"/>
  <c r="J9" i="2"/>
  <c r="B33" i="2"/>
  <c r="B34" i="2" s="1"/>
  <c r="H23" i="2"/>
  <c r="H33" i="2"/>
  <c r="H32" i="2"/>
  <c r="J26" i="2"/>
</calcChain>
</file>

<file path=xl/sharedStrings.xml><?xml version="1.0" encoding="utf-8"?>
<sst xmlns="http://schemas.openxmlformats.org/spreadsheetml/2006/main" count="325" uniqueCount="70">
  <si>
    <t>Database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</si>
  <si>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</si>
  <si>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</si>
  <si>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</si>
  <si>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</si>
  <si>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</si>
  <si>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</si>
  <si>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</si>
  <si>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</si>
  <si>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</si>
  <si>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</si>
  <si>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</si>
  <si>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</si>
  <si>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</si>
  <si>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</si>
  <si>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</si>
  <si>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</si>
  <si>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</si>
  <si>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</si>
  <si>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</si>
  <si>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</si>
  <si>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</si>
  <si>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</si>
  <si>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</si>
  <si>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</si>
  <si>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</si>
  <si>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</si>
  <si>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</si>
  <si>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</si>
  <si>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Scenarios</t>
  </si>
  <si>
    <t>S1</t>
  </si>
  <si>
    <t>S2</t>
  </si>
  <si>
    <t>Business as usual, 2022 report</t>
  </si>
  <si>
    <t>S3</t>
  </si>
  <si>
    <t>Unit</t>
  </si>
  <si>
    <t>Total Organic Waste Generation</t>
  </si>
  <si>
    <t>t</t>
  </si>
  <si>
    <t>Assume</t>
  </si>
  <si>
    <t>Scope</t>
  </si>
  <si>
    <t>Island of Montreal</t>
  </si>
  <si>
    <t xml:space="preserve">new facilities operate at capacity, </t>
  </si>
  <si>
    <t>remaining waste is sent proportionally to remaining facilities</t>
  </si>
  <si>
    <t>Landfilled</t>
  </si>
  <si>
    <t>Composted</t>
  </si>
  <si>
    <t>Units</t>
  </si>
  <si>
    <t>Facility</t>
  </si>
  <si>
    <t>Percent of total organic waste</t>
  </si>
  <si>
    <t>Total Waste</t>
  </si>
  <si>
    <t>% Organic</t>
  </si>
  <si>
    <t>Total Organic</t>
  </si>
  <si>
    <t>total</t>
  </si>
  <si>
    <t>S1 Production Mix</t>
  </si>
  <si>
    <t>S3 Production Mix</t>
  </si>
  <si>
    <t>% of waste received</t>
  </si>
  <si>
    <t>amount of organics received</t>
  </si>
  <si>
    <t>% of total</t>
  </si>
  <si>
    <t>S2 Production Mix</t>
  </si>
  <si>
    <t>OWM LCA</t>
  </si>
  <si>
    <t>BAU 2022</t>
  </si>
  <si>
    <t>remaining S3</t>
  </si>
  <si>
    <t>remaining S2</t>
  </si>
  <si>
    <t>Landfills % OWM</t>
  </si>
  <si>
    <t>Compost % OWM</t>
  </si>
  <si>
    <t>*doesn’t mass balance…</t>
  </si>
  <si>
    <t>*doesn't mass balance</t>
  </si>
  <si>
    <t>compost remaining S2</t>
  </si>
  <si>
    <t>compost remaing s3</t>
  </si>
  <si>
    <t>Ideal, both new facilities operate at capacity, landfill waste is equally shared by three most used landfills</t>
  </si>
  <si>
    <t>Representative of current situation, AD is not included bc not built yet, only top 3 most used landfills included</t>
  </si>
  <si>
    <t>technosphere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</si>
</sst>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F04C7FDA-6797-4803-802F-12311DFE4D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workbookViewId="0">
      <selection activeCell="K9" sqref="K9"/>
    </sheetView>
  </sheetViews>
  <sheetFormatPr defaultRowHeight="15" x14ac:dyDescent="0.25"/>
  <cols>
    <col min="1" max="1" width="36.140625" customWidth="1"/>
  </cols>
  <sheetData>
    <row r="1" spans="1:9" x14ac:dyDescent="0.25">
      <c r="A1" s="1" t="s">
        <v>0</v>
      </c>
      <c r="B1" s="2" t="s">
        <v>29</v>
      </c>
    </row>
    <row r="3" spans="1:9" x14ac:dyDescent="0.25">
      <c r="A3" s="1" t="s">
        <v>1</v>
      </c>
      <c r="B3" s="2" t="s">
        <v>30</v>
      </c>
      <c r="C3" s="2"/>
      <c r="D3" s="2"/>
      <c r="E3" s="2"/>
      <c r="F3" s="2"/>
      <c r="G3" s="2"/>
      <c r="H3" s="2"/>
      <c r="I3" s="2"/>
    </row>
    <row r="4" spans="1:9" x14ac:dyDescent="0.25">
      <c r="A4" s="3" t="s">
        <v>2</v>
      </c>
      <c r="B4" t="s">
        <v>32</v>
      </c>
    </row>
    <row r="5" spans="1:9" x14ac:dyDescent="0.25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</row>
    <row r="6" spans="1:9" x14ac:dyDescent="0.25">
      <c r="A6" s="4" t="s">
        <v>5</v>
      </c>
      <c r="B6" s="6">
        <v>1</v>
      </c>
      <c r="C6" s="5"/>
      <c r="D6" s="5"/>
      <c r="E6" s="5"/>
      <c r="F6" s="5"/>
      <c r="G6" s="5"/>
      <c r="H6" s="5"/>
      <c r="I6" s="5"/>
    </row>
    <row r="7" spans="1:9" x14ac:dyDescent="0.25">
      <c r="A7" s="4" t="s">
        <v>6</v>
      </c>
      <c r="B7" s="7" t="s">
        <v>7</v>
      </c>
      <c r="C7" s="5"/>
      <c r="D7" s="5"/>
      <c r="E7" s="5"/>
      <c r="F7" s="5"/>
      <c r="G7" s="5"/>
      <c r="H7" s="5"/>
      <c r="I7" s="5"/>
    </row>
    <row r="9" spans="1:9" x14ac:dyDescent="0.25">
      <c r="A9" s="3" t="s">
        <v>8</v>
      </c>
    </row>
    <row r="10" spans="1:9" x14ac:dyDescent="0.25">
      <c r="A10" s="3" t="s">
        <v>9</v>
      </c>
      <c r="B10" s="3" t="s">
        <v>10</v>
      </c>
      <c r="C10" s="3" t="s">
        <v>6</v>
      </c>
      <c r="D10" s="8" t="s">
        <v>11</v>
      </c>
      <c r="E10" s="3" t="s">
        <v>3</v>
      </c>
      <c r="F10" s="3" t="s">
        <v>12</v>
      </c>
      <c r="G10" s="3" t="s">
        <v>13</v>
      </c>
      <c r="H10" s="3" t="s">
        <v>14</v>
      </c>
      <c r="I10" t="s">
        <v>2</v>
      </c>
    </row>
    <row r="11" spans="1:9" x14ac:dyDescent="0.25">
      <c r="A11" t="str">
        <f>B3</f>
        <v>S1</v>
      </c>
      <c r="B11" t="s">
        <v>15</v>
      </c>
      <c r="C11" s="7" t="s">
        <v>7</v>
      </c>
      <c r="D11">
        <v>1</v>
      </c>
      <c r="E11" t="s">
        <v>4</v>
      </c>
      <c r="F11" t="str">
        <f>$B$1</f>
        <v>Scenarios</v>
      </c>
      <c r="G11" t="s">
        <v>16</v>
      </c>
      <c r="H11" s="3"/>
    </row>
    <row r="12" spans="1:9" x14ac:dyDescent="0.25">
      <c r="A12" t="s">
        <v>17</v>
      </c>
      <c r="B12" t="s">
        <v>15</v>
      </c>
      <c r="C12" s="7" t="s">
        <v>7</v>
      </c>
      <c r="D12" s="9">
        <v>0.12406233077303427</v>
      </c>
      <c r="E12" t="s">
        <v>4</v>
      </c>
      <c r="F12" t="s">
        <v>57</v>
      </c>
      <c r="G12" t="s">
        <v>69</v>
      </c>
      <c r="H12" s="3"/>
    </row>
    <row r="13" spans="1:9" x14ac:dyDescent="0.25">
      <c r="A13" t="s">
        <v>18</v>
      </c>
      <c r="B13" t="s">
        <v>15</v>
      </c>
      <c r="C13" s="7" t="s">
        <v>7</v>
      </c>
      <c r="D13" s="9">
        <v>0.2089470834072156</v>
      </c>
      <c r="E13" t="s">
        <v>4</v>
      </c>
      <c r="F13" t="s">
        <v>57</v>
      </c>
      <c r="G13" t="s">
        <v>69</v>
      </c>
      <c r="H13" s="3"/>
    </row>
    <row r="14" spans="1:9" x14ac:dyDescent="0.25">
      <c r="A14" t="s">
        <v>19</v>
      </c>
      <c r="B14" t="s">
        <v>15</v>
      </c>
      <c r="C14" s="7" t="s">
        <v>7</v>
      </c>
      <c r="D14" s="9">
        <v>0.24812466154606855</v>
      </c>
      <c r="E14" t="s">
        <v>4</v>
      </c>
      <c r="F14" t="s">
        <v>57</v>
      </c>
      <c r="G14" t="s">
        <v>69</v>
      </c>
      <c r="H14" s="3"/>
    </row>
    <row r="15" spans="1:9" x14ac:dyDescent="0.25">
      <c r="A15" t="s">
        <v>20</v>
      </c>
      <c r="B15" t="s">
        <v>15</v>
      </c>
      <c r="C15" s="7" t="s">
        <v>7</v>
      </c>
      <c r="D15" s="9">
        <v>2.611838542590195E-2</v>
      </c>
      <c r="E15" t="s">
        <v>4</v>
      </c>
      <c r="F15" t="s">
        <v>57</v>
      </c>
      <c r="G15" t="s">
        <v>69</v>
      </c>
      <c r="H15" s="3"/>
    </row>
    <row r="16" spans="1:9" x14ac:dyDescent="0.25">
      <c r="A16" t="s">
        <v>21</v>
      </c>
      <c r="B16" t="s">
        <v>15</v>
      </c>
      <c r="C16" s="7" t="s">
        <v>7</v>
      </c>
      <c r="D16" s="9">
        <v>1.958878906942646E-2</v>
      </c>
      <c r="E16" t="s">
        <v>4</v>
      </c>
      <c r="F16" t="s">
        <v>57</v>
      </c>
      <c r="G16" t="s">
        <v>69</v>
      </c>
      <c r="H16" s="3"/>
    </row>
    <row r="17" spans="1:9" x14ac:dyDescent="0.25">
      <c r="A17" t="s">
        <v>22</v>
      </c>
      <c r="B17" t="s">
        <v>15</v>
      </c>
      <c r="C17" s="7" t="s">
        <v>7</v>
      </c>
      <c r="D17" s="9">
        <v>2.611838542590195E-2</v>
      </c>
      <c r="E17" t="s">
        <v>4</v>
      </c>
      <c r="F17" t="s">
        <v>57</v>
      </c>
      <c r="G17" t="s">
        <v>69</v>
      </c>
      <c r="H17" s="3"/>
    </row>
    <row r="18" spans="1:9" x14ac:dyDescent="0.25">
      <c r="A18" t="s">
        <v>23</v>
      </c>
      <c r="B18" t="s">
        <v>15</v>
      </c>
      <c r="C18" s="7" t="s">
        <v>7</v>
      </c>
      <c r="D18" s="9">
        <v>7.6348880157539281E-2</v>
      </c>
      <c r="E18" t="s">
        <v>4</v>
      </c>
      <c r="F18" t="s">
        <v>57</v>
      </c>
      <c r="G18" t="s">
        <v>69</v>
      </c>
      <c r="H18" s="3"/>
    </row>
    <row r="19" spans="1:9" x14ac:dyDescent="0.25">
      <c r="A19" t="s">
        <v>24</v>
      </c>
      <c r="B19" t="s">
        <v>15</v>
      </c>
      <c r="C19" s="7" t="s">
        <v>7</v>
      </c>
      <c r="D19" s="9">
        <v>6.5937669226965742E-2</v>
      </c>
      <c r="E19" t="s">
        <v>4</v>
      </c>
      <c r="F19" t="s">
        <v>57</v>
      </c>
      <c r="G19" t="s">
        <v>69</v>
      </c>
      <c r="H19" s="3"/>
    </row>
    <row r="20" spans="1:9" x14ac:dyDescent="0.25">
      <c r="A20" t="s">
        <v>25</v>
      </c>
      <c r="B20" t="s">
        <v>15</v>
      </c>
      <c r="C20" s="7" t="s">
        <v>7</v>
      </c>
      <c r="D20" s="9">
        <v>4.858565100934318E-2</v>
      </c>
      <c r="E20" t="s">
        <v>4</v>
      </c>
      <c r="F20" t="s">
        <v>57</v>
      </c>
      <c r="G20" t="s">
        <v>69</v>
      </c>
      <c r="H20" s="3"/>
    </row>
    <row r="21" spans="1:9" x14ac:dyDescent="0.25">
      <c r="A21" t="s">
        <v>26</v>
      </c>
      <c r="B21" t="s">
        <v>15</v>
      </c>
      <c r="C21" s="7" t="s">
        <v>7</v>
      </c>
      <c r="D21" s="9">
        <v>0.15616816395860308</v>
      </c>
      <c r="E21" t="s">
        <v>4</v>
      </c>
      <c r="F21" t="s">
        <v>57</v>
      </c>
      <c r="G21" t="s">
        <v>69</v>
      </c>
      <c r="H21" s="3"/>
    </row>
    <row r="22" spans="1:9" x14ac:dyDescent="0.25">
      <c r="C22" s="3"/>
      <c r="D22" s="8"/>
      <c r="E22" s="3"/>
      <c r="F22" s="3"/>
      <c r="G22" s="3"/>
      <c r="H22" s="3"/>
    </row>
    <row r="23" spans="1:9" x14ac:dyDescent="0.25">
      <c r="C23" s="3"/>
      <c r="D23" s="8"/>
      <c r="E23" s="3"/>
      <c r="F23" s="3"/>
      <c r="G23" s="3"/>
      <c r="H23" s="3"/>
    </row>
    <row r="26" spans="1:9" x14ac:dyDescent="0.25">
      <c r="A26" s="1" t="s">
        <v>1</v>
      </c>
      <c r="B26" s="2" t="s">
        <v>31</v>
      </c>
      <c r="C26" s="2"/>
      <c r="D26" s="2"/>
      <c r="E26" s="2"/>
      <c r="F26" s="2"/>
      <c r="G26" s="2"/>
      <c r="H26" s="2"/>
      <c r="I26" s="2"/>
    </row>
    <row r="27" spans="1:9" x14ac:dyDescent="0.25">
      <c r="A27" s="3" t="s">
        <v>2</v>
      </c>
      <c r="B27" t="s">
        <v>68</v>
      </c>
    </row>
    <row r="28" spans="1:9" x14ac:dyDescent="0.25">
      <c r="A28" s="4" t="s">
        <v>3</v>
      </c>
      <c r="B28" s="5" t="s">
        <v>4</v>
      </c>
    </row>
    <row r="29" spans="1:9" x14ac:dyDescent="0.25">
      <c r="A29" s="4" t="s">
        <v>5</v>
      </c>
      <c r="B29" s="6">
        <v>1</v>
      </c>
    </row>
    <row r="30" spans="1:9" x14ac:dyDescent="0.25">
      <c r="A30" s="4" t="s">
        <v>6</v>
      </c>
      <c r="B30" s="7" t="s">
        <v>7</v>
      </c>
    </row>
    <row r="32" spans="1:9" x14ac:dyDescent="0.25">
      <c r="A32" s="3" t="s">
        <v>8</v>
      </c>
    </row>
    <row r="33" spans="1:9" x14ac:dyDescent="0.25">
      <c r="A33" s="3" t="s">
        <v>9</v>
      </c>
      <c r="B33" s="3" t="s">
        <v>10</v>
      </c>
      <c r="C33" s="3" t="s">
        <v>6</v>
      </c>
      <c r="D33" s="8" t="s">
        <v>11</v>
      </c>
      <c r="E33" s="3" t="s">
        <v>3</v>
      </c>
      <c r="F33" s="3" t="s">
        <v>12</v>
      </c>
      <c r="G33" s="3" t="s">
        <v>13</v>
      </c>
      <c r="H33" s="3" t="s">
        <v>14</v>
      </c>
      <c r="I33" t="s">
        <v>2</v>
      </c>
    </row>
    <row r="34" spans="1:9" x14ac:dyDescent="0.25">
      <c r="A34" t="s">
        <v>31</v>
      </c>
      <c r="B34" t="s">
        <v>15</v>
      </c>
      <c r="C34" t="s">
        <v>7</v>
      </c>
      <c r="D34">
        <v>1</v>
      </c>
      <c r="E34" t="s">
        <v>4</v>
      </c>
      <c r="F34" t="str">
        <f>$B$1</f>
        <v>Scenarios</v>
      </c>
      <c r="G34" t="s">
        <v>16</v>
      </c>
      <c r="H34" s="3"/>
    </row>
    <row r="35" spans="1:9" x14ac:dyDescent="0.25">
      <c r="A35" t="s">
        <v>17</v>
      </c>
      <c r="B35" t="s">
        <v>15</v>
      </c>
      <c r="C35" t="s">
        <v>7</v>
      </c>
      <c r="D35" s="9">
        <v>0.21765321188251627</v>
      </c>
      <c r="E35" t="s">
        <v>4</v>
      </c>
      <c r="F35" t="s">
        <v>57</v>
      </c>
      <c r="G35" t="s">
        <v>69</v>
      </c>
    </row>
    <row r="36" spans="1:9" x14ac:dyDescent="0.25">
      <c r="A36" t="s">
        <v>18</v>
      </c>
      <c r="B36" t="s">
        <v>15</v>
      </c>
      <c r="C36" t="s">
        <v>7</v>
      </c>
      <c r="D36" s="9">
        <v>0.21765321188251627</v>
      </c>
      <c r="E36" t="s">
        <v>4</v>
      </c>
      <c r="F36" t="s">
        <v>57</v>
      </c>
      <c r="G36" t="s">
        <v>69</v>
      </c>
    </row>
    <row r="37" spans="1:9" x14ac:dyDescent="0.25">
      <c r="A37" t="s">
        <v>19</v>
      </c>
      <c r="B37" t="s">
        <v>15</v>
      </c>
      <c r="C37" t="s">
        <v>7</v>
      </c>
      <c r="D37" s="9">
        <v>0.21765321188251627</v>
      </c>
      <c r="E37" t="s">
        <v>4</v>
      </c>
      <c r="F37" t="s">
        <v>57</v>
      </c>
      <c r="G37" t="s">
        <v>69</v>
      </c>
    </row>
    <row r="38" spans="1:9" x14ac:dyDescent="0.25">
      <c r="A38" t="s">
        <v>23</v>
      </c>
      <c r="B38" t="s">
        <v>15</v>
      </c>
      <c r="C38" t="s">
        <v>7</v>
      </c>
      <c r="D38" s="9">
        <v>9.9728598591792301E-3</v>
      </c>
      <c r="E38" t="s">
        <v>4</v>
      </c>
      <c r="F38" t="s">
        <v>57</v>
      </c>
      <c r="G38" t="s">
        <v>69</v>
      </c>
    </row>
    <row r="39" spans="1:9" x14ac:dyDescent="0.25">
      <c r="A39" t="s">
        <v>24</v>
      </c>
      <c r="B39" t="s">
        <v>15</v>
      </c>
      <c r="C39" t="s">
        <v>7</v>
      </c>
      <c r="D39" s="9">
        <v>5.6666666666666671E-2</v>
      </c>
      <c r="E39" t="s">
        <v>4</v>
      </c>
      <c r="F39" t="s">
        <v>57</v>
      </c>
      <c r="G39" t="s">
        <v>69</v>
      </c>
    </row>
    <row r="40" spans="1:9" x14ac:dyDescent="0.25">
      <c r="A40" t="s">
        <v>25</v>
      </c>
      <c r="B40" t="s">
        <v>15</v>
      </c>
      <c r="C40" t="s">
        <v>7</v>
      </c>
      <c r="D40" s="9">
        <v>5.6666666666666671E-2</v>
      </c>
      <c r="E40" t="s">
        <v>4</v>
      </c>
      <c r="F40" t="s">
        <v>57</v>
      </c>
      <c r="G40" t="s">
        <v>69</v>
      </c>
    </row>
    <row r="41" spans="1:9" x14ac:dyDescent="0.25">
      <c r="A41" t="s">
        <v>26</v>
      </c>
      <c r="B41" t="s">
        <v>15</v>
      </c>
      <c r="C41" t="s">
        <v>7</v>
      </c>
      <c r="D41" s="9">
        <v>5.6666666666666671E-2</v>
      </c>
      <c r="E41" t="s">
        <v>4</v>
      </c>
      <c r="F41" t="s">
        <v>57</v>
      </c>
      <c r="G41" t="s">
        <v>69</v>
      </c>
    </row>
    <row r="42" spans="1:9" x14ac:dyDescent="0.25">
      <c r="A42" t="s">
        <v>27</v>
      </c>
      <c r="B42" t="s">
        <v>15</v>
      </c>
      <c r="C42" t="s">
        <v>7</v>
      </c>
      <c r="D42" s="9">
        <v>0.16621433098632049</v>
      </c>
      <c r="E42" t="s">
        <v>4</v>
      </c>
      <c r="F42" t="s">
        <v>57</v>
      </c>
      <c r="G42" t="s">
        <v>69</v>
      </c>
    </row>
    <row r="43" spans="1:9" x14ac:dyDescent="0.25">
      <c r="D43" s="9"/>
    </row>
    <row r="44" spans="1:9" x14ac:dyDescent="0.25">
      <c r="D44" s="9"/>
    </row>
    <row r="45" spans="1:9" x14ac:dyDescent="0.25">
      <c r="D45" s="9"/>
    </row>
    <row r="46" spans="1:9" x14ac:dyDescent="0.25">
      <c r="D46" s="9"/>
    </row>
    <row r="51" spans="1:9" x14ac:dyDescent="0.25">
      <c r="A51" s="1" t="s">
        <v>1</v>
      </c>
      <c r="B51" s="2" t="s">
        <v>33</v>
      </c>
      <c r="C51" s="2"/>
      <c r="D51" s="2"/>
      <c r="E51" s="2"/>
      <c r="F51" s="2"/>
      <c r="G51" s="2"/>
      <c r="H51" s="2"/>
      <c r="I51" s="2"/>
    </row>
    <row r="52" spans="1:9" x14ac:dyDescent="0.25">
      <c r="A52" s="3" t="s">
        <v>2</v>
      </c>
      <c r="B52" t="s">
        <v>67</v>
      </c>
    </row>
    <row r="53" spans="1:9" x14ac:dyDescent="0.25">
      <c r="A53" s="4" t="s">
        <v>3</v>
      </c>
      <c r="B53" s="5" t="s">
        <v>4</v>
      </c>
    </row>
    <row r="54" spans="1:9" x14ac:dyDescent="0.25">
      <c r="A54" s="4" t="s">
        <v>5</v>
      </c>
      <c r="B54" s="6">
        <v>1</v>
      </c>
    </row>
    <row r="55" spans="1:9" x14ac:dyDescent="0.25">
      <c r="A55" s="4" t="s">
        <v>6</v>
      </c>
      <c r="B55" s="7" t="s">
        <v>7</v>
      </c>
    </row>
    <row r="57" spans="1:9" x14ac:dyDescent="0.25">
      <c r="A57" s="3" t="s">
        <v>8</v>
      </c>
    </row>
    <row r="58" spans="1:9" x14ac:dyDescent="0.25">
      <c r="A58" s="3" t="s">
        <v>9</v>
      </c>
      <c r="B58" s="3" t="s">
        <v>10</v>
      </c>
      <c r="C58" s="3" t="s">
        <v>6</v>
      </c>
      <c r="D58" s="8" t="s">
        <v>11</v>
      </c>
      <c r="E58" s="3" t="s">
        <v>3</v>
      </c>
      <c r="F58" s="3" t="s">
        <v>12</v>
      </c>
      <c r="G58" s="3" t="s">
        <v>13</v>
      </c>
      <c r="H58" s="3" t="s">
        <v>14</v>
      </c>
      <c r="I58" t="s">
        <v>2</v>
      </c>
    </row>
    <row r="59" spans="1:9" x14ac:dyDescent="0.25">
      <c r="A59" t="str">
        <f>B51</f>
        <v>S3</v>
      </c>
      <c r="B59" t="s">
        <v>15</v>
      </c>
      <c r="C59" t="s">
        <v>7</v>
      </c>
      <c r="D59">
        <v>1</v>
      </c>
      <c r="E59" t="s">
        <v>4</v>
      </c>
      <c r="F59" t="str">
        <f>$B$1</f>
        <v>Scenarios</v>
      </c>
      <c r="G59" t="s">
        <v>16</v>
      </c>
      <c r="H59" s="3"/>
    </row>
    <row r="60" spans="1:9" x14ac:dyDescent="0.25">
      <c r="A60" t="s">
        <v>17</v>
      </c>
      <c r="B60" t="s">
        <v>15</v>
      </c>
      <c r="C60" t="s">
        <v>7</v>
      </c>
      <c r="D60" s="9">
        <v>0.21765321188251627</v>
      </c>
      <c r="E60" t="s">
        <v>4</v>
      </c>
      <c r="F60" t="s">
        <v>57</v>
      </c>
      <c r="G60" t="s">
        <v>69</v>
      </c>
    </row>
    <row r="61" spans="1:9" x14ac:dyDescent="0.25">
      <c r="A61" t="s">
        <v>18</v>
      </c>
      <c r="B61" t="s">
        <v>15</v>
      </c>
      <c r="C61" t="s">
        <v>7</v>
      </c>
      <c r="D61" s="9">
        <v>0.21765321188251627</v>
      </c>
      <c r="E61" t="s">
        <v>4</v>
      </c>
      <c r="F61" t="s">
        <v>57</v>
      </c>
      <c r="G61" t="s">
        <v>69</v>
      </c>
    </row>
    <row r="62" spans="1:9" x14ac:dyDescent="0.25">
      <c r="A62" t="s">
        <v>19</v>
      </c>
      <c r="B62" t="s">
        <v>15</v>
      </c>
      <c r="C62" t="s">
        <v>7</v>
      </c>
      <c r="D62" s="9">
        <v>0.21765321188251627</v>
      </c>
      <c r="E62" t="s">
        <v>4</v>
      </c>
      <c r="F62" t="s">
        <v>57</v>
      </c>
      <c r="G62" t="s">
        <v>69</v>
      </c>
    </row>
    <row r="63" spans="1:9" x14ac:dyDescent="0.25">
      <c r="A63" t="s">
        <v>27</v>
      </c>
      <c r="B63" t="s">
        <v>15</v>
      </c>
      <c r="C63" t="s">
        <v>7</v>
      </c>
      <c r="D63" s="9">
        <v>0.16621433098632049</v>
      </c>
      <c r="E63" t="s">
        <v>4</v>
      </c>
      <c r="F63" t="s">
        <v>57</v>
      </c>
      <c r="G63" t="s">
        <v>69</v>
      </c>
    </row>
    <row r="64" spans="1:9" x14ac:dyDescent="0.25">
      <c r="A64" t="s">
        <v>28</v>
      </c>
      <c r="B64" t="s">
        <v>15</v>
      </c>
      <c r="C64" t="s">
        <v>7</v>
      </c>
      <c r="D64" s="9">
        <v>0.19945719718358459</v>
      </c>
      <c r="E64" t="s">
        <v>4</v>
      </c>
      <c r="F64" t="s">
        <v>57</v>
      </c>
      <c r="G64" t="s">
        <v>69</v>
      </c>
    </row>
    <row r="65" spans="4:4" x14ac:dyDescent="0.25">
      <c r="D65" s="9"/>
    </row>
    <row r="66" spans="4:4" x14ac:dyDescent="0.25">
      <c r="D66" s="9"/>
    </row>
    <row r="67" spans="4:4" x14ac:dyDescent="0.25">
      <c r="D67" s="9"/>
    </row>
    <row r="68" spans="4:4" x14ac:dyDescent="0.25">
      <c r="D68" s="9"/>
    </row>
    <row r="69" spans="4:4" x14ac:dyDescent="0.25">
      <c r="D69" s="9"/>
    </row>
    <row r="70" spans="4:4" x14ac:dyDescent="0.25">
      <c r="D70" s="9"/>
    </row>
    <row r="71" spans="4:4" x14ac:dyDescent="0.25">
      <c r="D7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2C74-CF38-461F-A989-FAD6FABAA9AF}">
  <dimension ref="A1:L41"/>
  <sheetViews>
    <sheetView tabSelected="1" workbookViewId="0">
      <selection activeCell="B2" sqref="B2"/>
    </sheetView>
  </sheetViews>
  <sheetFormatPr defaultRowHeight="15" x14ac:dyDescent="0.25"/>
  <cols>
    <col min="1" max="1" width="33" customWidth="1"/>
    <col min="3" max="3" width="13.42578125" customWidth="1"/>
    <col min="7" max="7" width="27.42578125" customWidth="1"/>
  </cols>
  <sheetData>
    <row r="1" spans="1:12" x14ac:dyDescent="0.25">
      <c r="C1" t="s">
        <v>34</v>
      </c>
    </row>
    <row r="2" spans="1:12" x14ac:dyDescent="0.25">
      <c r="A2" t="s">
        <v>35</v>
      </c>
      <c r="B2" s="10">
        <f>B8+C8</f>
        <v>300816.42</v>
      </c>
      <c r="C2" t="s">
        <v>36</v>
      </c>
      <c r="G2" s="11" t="s">
        <v>37</v>
      </c>
    </row>
    <row r="3" spans="1:12" x14ac:dyDescent="0.25">
      <c r="A3" t="s">
        <v>38</v>
      </c>
      <c r="B3" t="s">
        <v>39</v>
      </c>
      <c r="G3" t="s">
        <v>40</v>
      </c>
    </row>
    <row r="4" spans="1:12" x14ac:dyDescent="0.25">
      <c r="G4" t="s">
        <v>41</v>
      </c>
    </row>
    <row r="5" spans="1:12" x14ac:dyDescent="0.25">
      <c r="A5" s="12"/>
      <c r="B5" s="12" t="s">
        <v>42</v>
      </c>
      <c r="C5" s="12" t="s">
        <v>43</v>
      </c>
      <c r="D5" s="12" t="s">
        <v>44</v>
      </c>
      <c r="G5" s="12" t="s">
        <v>45</v>
      </c>
      <c r="H5" s="12"/>
      <c r="I5" s="12" t="s">
        <v>44</v>
      </c>
      <c r="J5" s="12" t="s">
        <v>46</v>
      </c>
      <c r="K5" s="12"/>
      <c r="L5" s="12"/>
    </row>
    <row r="6" spans="1:12" x14ac:dyDescent="0.25">
      <c r="A6" t="s">
        <v>47</v>
      </c>
      <c r="B6">
        <v>467669</v>
      </c>
      <c r="C6">
        <v>434981</v>
      </c>
      <c r="D6" t="s">
        <v>36</v>
      </c>
      <c r="G6" t="s">
        <v>27</v>
      </c>
      <c r="H6">
        <v>50000</v>
      </c>
      <c r="I6" t="s">
        <v>36</v>
      </c>
      <c r="J6" s="9">
        <f>H6/B2</f>
        <v>0.16621433098632049</v>
      </c>
    </row>
    <row r="7" spans="1:12" x14ac:dyDescent="0.25">
      <c r="A7" t="s">
        <v>48</v>
      </c>
      <c r="B7" s="13">
        <v>0.42</v>
      </c>
      <c r="C7" s="13">
        <v>0.24</v>
      </c>
      <c r="G7" t="s">
        <v>28</v>
      </c>
      <c r="H7">
        <v>60000</v>
      </c>
      <c r="I7" t="s">
        <v>36</v>
      </c>
      <c r="J7" s="9">
        <f>H7/B2</f>
        <v>0.19945719718358459</v>
      </c>
    </row>
    <row r="8" spans="1:12" x14ac:dyDescent="0.25">
      <c r="A8" t="s">
        <v>49</v>
      </c>
      <c r="B8" s="10">
        <f>B6*B7</f>
        <v>196420.97999999998</v>
      </c>
      <c r="C8" s="10">
        <f>C6*C7</f>
        <v>104395.44</v>
      </c>
      <c r="D8" t="s">
        <v>36</v>
      </c>
      <c r="G8" t="s">
        <v>23</v>
      </c>
      <c r="H8">
        <v>3000</v>
      </c>
      <c r="I8" t="s">
        <v>36</v>
      </c>
      <c r="J8" s="9">
        <f>H8/B2</f>
        <v>9.9728598591792301E-3</v>
      </c>
    </row>
    <row r="9" spans="1:12" x14ac:dyDescent="0.25">
      <c r="B9" s="10"/>
      <c r="C9" s="10"/>
      <c r="G9" t="s">
        <v>50</v>
      </c>
      <c r="H9">
        <f>SUM(H6:H8)</f>
        <v>113000</v>
      </c>
      <c r="I9" t="s">
        <v>36</v>
      </c>
      <c r="J9" s="9">
        <f>SUM(J6:J7)</f>
        <v>0.36567152816990511</v>
      </c>
    </row>
    <row r="10" spans="1:12" x14ac:dyDescent="0.25">
      <c r="G10" t="s">
        <v>59</v>
      </c>
      <c r="H10" s="10">
        <f>B2-H9</f>
        <v>187816.41999999998</v>
      </c>
      <c r="I10" t="s">
        <v>36</v>
      </c>
      <c r="J10" s="9">
        <f>H10/B2</f>
        <v>0.62435561197091571</v>
      </c>
    </row>
    <row r="11" spans="1:12" x14ac:dyDescent="0.25">
      <c r="G11" t="s">
        <v>60</v>
      </c>
      <c r="H11" s="10">
        <f>B2-(H6+H8)</f>
        <v>247816.41999999998</v>
      </c>
      <c r="I11" t="s">
        <v>36</v>
      </c>
      <c r="J11">
        <f>H11/B2</f>
        <v>0.82381280915450028</v>
      </c>
    </row>
    <row r="12" spans="1:12" x14ac:dyDescent="0.25">
      <c r="A12" s="3" t="s">
        <v>51</v>
      </c>
      <c r="B12" t="s">
        <v>2</v>
      </c>
      <c r="C12" t="s">
        <v>58</v>
      </c>
      <c r="G12" s="3" t="s">
        <v>52</v>
      </c>
    </row>
    <row r="13" spans="1:12" x14ac:dyDescent="0.25">
      <c r="A13" s="12" t="s">
        <v>45</v>
      </c>
      <c r="B13" s="12" t="s">
        <v>53</v>
      </c>
      <c r="C13" s="12" t="s">
        <v>54</v>
      </c>
      <c r="D13" s="12" t="s">
        <v>44</v>
      </c>
      <c r="E13" s="12" t="s">
        <v>55</v>
      </c>
      <c r="G13" s="12" t="s">
        <v>45</v>
      </c>
      <c r="H13" s="12" t="s">
        <v>54</v>
      </c>
      <c r="I13" s="12" t="s">
        <v>44</v>
      </c>
      <c r="J13" s="12" t="s">
        <v>55</v>
      </c>
    </row>
    <row r="14" spans="1:12" x14ac:dyDescent="0.25">
      <c r="A14" t="s">
        <v>17</v>
      </c>
      <c r="B14" s="13">
        <v>0.19</v>
      </c>
      <c r="C14" s="10">
        <f>$B$8*B14</f>
        <v>37319.986199999999</v>
      </c>
      <c r="D14" t="s">
        <v>36</v>
      </c>
      <c r="E14" s="9">
        <f>C14/$B$2</f>
        <v>0.12406233077303427</v>
      </c>
      <c r="G14" t="s">
        <v>17</v>
      </c>
      <c r="H14" s="9">
        <f t="shared" ref="H14:H23" si="0">$H$10*E14</f>
        <v>23300.942822647128</v>
      </c>
      <c r="I14" t="s">
        <v>36</v>
      </c>
    </row>
    <row r="15" spans="1:12" x14ac:dyDescent="0.25">
      <c r="A15" t="s">
        <v>18</v>
      </c>
      <c r="B15" s="13">
        <v>0.32</v>
      </c>
      <c r="C15" s="10">
        <f t="shared" ref="C15:C18" si="1">$B$8*B15</f>
        <v>62854.713599999995</v>
      </c>
      <c r="D15" t="s">
        <v>36</v>
      </c>
      <c r="E15" s="9">
        <f t="shared" ref="E15:E24" si="2">C15/$B$2</f>
        <v>0.2089470834072156</v>
      </c>
      <c r="G15" t="s">
        <v>18</v>
      </c>
      <c r="H15" s="9">
        <f t="shared" si="0"/>
        <v>39243.693174984634</v>
      </c>
      <c r="I15" t="s">
        <v>36</v>
      </c>
    </row>
    <row r="16" spans="1:12" x14ac:dyDescent="0.25">
      <c r="A16" t="s">
        <v>19</v>
      </c>
      <c r="B16" s="13">
        <v>0.38</v>
      </c>
      <c r="C16" s="10">
        <f t="shared" si="1"/>
        <v>74639.972399999999</v>
      </c>
      <c r="D16" t="s">
        <v>36</v>
      </c>
      <c r="E16" s="9">
        <f t="shared" si="2"/>
        <v>0.24812466154606855</v>
      </c>
      <c r="G16" t="s">
        <v>19</v>
      </c>
      <c r="H16" s="9">
        <f t="shared" si="0"/>
        <v>46601.885645294256</v>
      </c>
      <c r="I16" t="s">
        <v>36</v>
      </c>
    </row>
    <row r="17" spans="1:11" x14ac:dyDescent="0.25">
      <c r="A17" t="s">
        <v>20</v>
      </c>
      <c r="B17" s="13">
        <v>0.04</v>
      </c>
      <c r="C17" s="10">
        <f t="shared" si="1"/>
        <v>7856.8391999999994</v>
      </c>
      <c r="D17" t="s">
        <v>36</v>
      </c>
      <c r="E17" s="14">
        <f t="shared" si="2"/>
        <v>2.611838542590195E-2</v>
      </c>
      <c r="G17" t="s">
        <v>20</v>
      </c>
      <c r="H17" s="9">
        <f t="shared" si="0"/>
        <v>4905.4616468730792</v>
      </c>
      <c r="I17" t="s">
        <v>36</v>
      </c>
    </row>
    <row r="18" spans="1:11" x14ac:dyDescent="0.25">
      <c r="A18" t="s">
        <v>21</v>
      </c>
      <c r="B18" s="13">
        <v>0.03</v>
      </c>
      <c r="C18" s="10">
        <f t="shared" si="1"/>
        <v>5892.6293999999989</v>
      </c>
      <c r="D18" t="s">
        <v>36</v>
      </c>
      <c r="E18" s="14">
        <f t="shared" si="2"/>
        <v>1.958878906942646E-2</v>
      </c>
      <c r="G18" t="s">
        <v>21</v>
      </c>
      <c r="H18" s="9">
        <f t="shared" si="0"/>
        <v>3679.0962351548087</v>
      </c>
      <c r="I18" t="s">
        <v>36</v>
      </c>
    </row>
    <row r="19" spans="1:11" x14ac:dyDescent="0.25">
      <c r="A19" t="s">
        <v>22</v>
      </c>
      <c r="B19" s="13">
        <v>0.04</v>
      </c>
      <c r="C19" s="10">
        <f>$B$8*B19</f>
        <v>7856.8391999999994</v>
      </c>
      <c r="D19" t="s">
        <v>36</v>
      </c>
      <c r="E19" s="14">
        <f t="shared" si="2"/>
        <v>2.611838542590195E-2</v>
      </c>
      <c r="G19" t="s">
        <v>22</v>
      </c>
      <c r="H19" s="9">
        <f t="shared" si="0"/>
        <v>4905.4616468730792</v>
      </c>
      <c r="I19" t="s">
        <v>36</v>
      </c>
    </row>
    <row r="20" spans="1:11" x14ac:dyDescent="0.25">
      <c r="A20" t="s">
        <v>23</v>
      </c>
      <c r="B20" s="13">
        <v>0.22</v>
      </c>
      <c r="C20" s="10">
        <f>$C$8*B20</f>
        <v>22966.996800000001</v>
      </c>
      <c r="D20" t="s">
        <v>36</v>
      </c>
      <c r="E20" s="9">
        <f>C20/$B$2</f>
        <v>7.6348880157539281E-2</v>
      </c>
      <c r="G20" t="s">
        <v>23</v>
      </c>
      <c r="H20" s="9">
        <f t="shared" si="0"/>
        <v>14339.573342198062</v>
      </c>
      <c r="I20" t="s">
        <v>36</v>
      </c>
    </row>
    <row r="21" spans="1:11" x14ac:dyDescent="0.25">
      <c r="A21" t="s">
        <v>24</v>
      </c>
      <c r="B21" s="13">
        <v>0.19</v>
      </c>
      <c r="C21" s="10">
        <f t="shared" ref="C21:C22" si="3">$C$8*B21</f>
        <v>19835.133600000001</v>
      </c>
      <c r="D21" t="s">
        <v>36</v>
      </c>
      <c r="E21" s="9">
        <f t="shared" si="2"/>
        <v>6.5937669226965742E-2</v>
      </c>
      <c r="G21" t="s">
        <v>24</v>
      </c>
      <c r="H21" s="9">
        <f t="shared" si="0"/>
        <v>12384.176977352872</v>
      </c>
      <c r="I21" t="s">
        <v>36</v>
      </c>
    </row>
    <row r="22" spans="1:11" x14ac:dyDescent="0.25">
      <c r="A22" t="s">
        <v>25</v>
      </c>
      <c r="B22" s="13">
        <v>0.14000000000000001</v>
      </c>
      <c r="C22" s="10">
        <f t="shared" si="3"/>
        <v>14615.361600000002</v>
      </c>
      <c r="D22" t="s">
        <v>36</v>
      </c>
      <c r="E22" s="9">
        <f t="shared" si="2"/>
        <v>4.858565100934318E-2</v>
      </c>
      <c r="G22" t="s">
        <v>25</v>
      </c>
      <c r="H22" s="9">
        <f t="shared" si="0"/>
        <v>9125.183035944221</v>
      </c>
      <c r="I22" t="s">
        <v>36</v>
      </c>
    </row>
    <row r="23" spans="1:11" x14ac:dyDescent="0.25">
      <c r="A23" t="s">
        <v>26</v>
      </c>
      <c r="B23" s="13">
        <v>0.45</v>
      </c>
      <c r="C23" s="10">
        <f>$C$8*B23</f>
        <v>46977.948000000004</v>
      </c>
      <c r="D23" t="s">
        <v>36</v>
      </c>
      <c r="E23" s="9">
        <f t="shared" si="2"/>
        <v>0.15616816395860308</v>
      </c>
      <c r="G23" t="s">
        <v>26</v>
      </c>
      <c r="H23" s="9">
        <f t="shared" si="0"/>
        <v>29330.945472677857</v>
      </c>
      <c r="I23" t="s">
        <v>36</v>
      </c>
    </row>
    <row r="24" spans="1:11" x14ac:dyDescent="0.25">
      <c r="A24" t="s">
        <v>50</v>
      </c>
      <c r="B24" s="13"/>
      <c r="C24" s="10">
        <f>SUM(C14:C23)</f>
        <v>300816.42</v>
      </c>
      <c r="E24" s="9">
        <f t="shared" si="2"/>
        <v>1</v>
      </c>
      <c r="G24" t="s">
        <v>27</v>
      </c>
      <c r="H24" s="9">
        <f>H6</f>
        <v>50000</v>
      </c>
      <c r="I24" t="s">
        <v>36</v>
      </c>
    </row>
    <row r="25" spans="1:11" x14ac:dyDescent="0.25">
      <c r="A25" s="3" t="s">
        <v>56</v>
      </c>
      <c r="G25" t="s">
        <v>28</v>
      </c>
      <c r="H25" s="9">
        <f>H7</f>
        <v>60000</v>
      </c>
      <c r="I25" t="s">
        <v>36</v>
      </c>
    </row>
    <row r="26" spans="1:11" x14ac:dyDescent="0.25">
      <c r="A26" t="s">
        <v>17</v>
      </c>
      <c r="B26" s="9">
        <f>C26/$B$2</f>
        <v>0.21765321188251627</v>
      </c>
      <c r="C26">
        <f>$B$2*($H$30/3)</f>
        <v>65473.66</v>
      </c>
      <c r="G26" t="s">
        <v>50</v>
      </c>
      <c r="H26" s="10">
        <f>SUM(H14:H25)</f>
        <v>297816.42</v>
      </c>
      <c r="I26" t="s">
        <v>36</v>
      </c>
      <c r="J26">
        <f t="shared" ref="J26" si="4">H26/$B$2</f>
        <v>0.99002714014082072</v>
      </c>
      <c r="K26" t="s">
        <v>64</v>
      </c>
    </row>
    <row r="27" spans="1:11" x14ac:dyDescent="0.25">
      <c r="A27" t="s">
        <v>18</v>
      </c>
      <c r="B27" s="9">
        <f t="shared" ref="B27:B28" si="5">C27/$B$2</f>
        <v>0.21765321188251627</v>
      </c>
      <c r="C27">
        <f t="shared" ref="C27:C28" si="6">$B$2*($H$30/3)</f>
        <v>65473.66</v>
      </c>
    </row>
    <row r="28" spans="1:11" x14ac:dyDescent="0.25">
      <c r="A28" t="s">
        <v>19</v>
      </c>
      <c r="B28" s="9">
        <f t="shared" si="5"/>
        <v>0.21765321188251627</v>
      </c>
      <c r="C28">
        <f t="shared" si="6"/>
        <v>65473.66</v>
      </c>
    </row>
    <row r="29" spans="1:11" x14ac:dyDescent="0.25">
      <c r="A29" t="s">
        <v>23</v>
      </c>
      <c r="B29" s="9">
        <f>J8</f>
        <v>9.9728598591792301E-3</v>
      </c>
      <c r="C29">
        <f>H8</f>
        <v>3000</v>
      </c>
      <c r="G29" t="s">
        <v>31</v>
      </c>
    </row>
    <row r="30" spans="1:11" x14ac:dyDescent="0.25">
      <c r="A30" t="s">
        <v>24</v>
      </c>
      <c r="B30">
        <f>C30/$B$2</f>
        <v>5.6666666666666671E-2</v>
      </c>
      <c r="C30">
        <f>$B$2*(0.17/3)</f>
        <v>17046.263800000001</v>
      </c>
      <c r="G30" t="s">
        <v>61</v>
      </c>
      <c r="H30" s="9">
        <f>B8/B2</f>
        <v>0.65295963564754878</v>
      </c>
    </row>
    <row r="31" spans="1:11" x14ac:dyDescent="0.25">
      <c r="A31" t="s">
        <v>25</v>
      </c>
      <c r="B31">
        <f t="shared" ref="B31:B32" si="7">C31/$B$2</f>
        <v>5.6666666666666671E-2</v>
      </c>
      <c r="C31">
        <f t="shared" ref="C31:C32" si="8">$B$2*(0.17/3)</f>
        <v>17046.263800000001</v>
      </c>
      <c r="G31" t="s">
        <v>62</v>
      </c>
      <c r="H31" s="15">
        <f>C8/B2</f>
        <v>0.34704036435245128</v>
      </c>
      <c r="I31" s="15"/>
    </row>
    <row r="32" spans="1:11" x14ac:dyDescent="0.25">
      <c r="A32" t="s">
        <v>26</v>
      </c>
      <c r="B32">
        <f t="shared" si="7"/>
        <v>5.6666666666666671E-2</v>
      </c>
      <c r="C32">
        <f t="shared" si="8"/>
        <v>17046.263800000001</v>
      </c>
      <c r="G32" t="s">
        <v>65</v>
      </c>
      <c r="H32" s="9">
        <f>H31-(B29+B33)</f>
        <v>0.17085317350695156</v>
      </c>
    </row>
    <row r="33" spans="1:8" x14ac:dyDescent="0.25">
      <c r="A33" t="s">
        <v>27</v>
      </c>
      <c r="B33" s="9">
        <f>J6</f>
        <v>0.16621433098632049</v>
      </c>
      <c r="C33">
        <f>H6</f>
        <v>50000</v>
      </c>
      <c r="G33" t="s">
        <v>66</v>
      </c>
      <c r="H33" s="15">
        <f>H31-(B39+B40)</f>
        <v>-1.8631163817453833E-2</v>
      </c>
    </row>
    <row r="34" spans="1:8" x14ac:dyDescent="0.25">
      <c r="A34" t="s">
        <v>50</v>
      </c>
      <c r="B34" s="9">
        <f>SUM(B26:B33)</f>
        <v>0.99914682649304853</v>
      </c>
      <c r="C34" s="10">
        <f>SUM(C26:C33)</f>
        <v>300559.77140000003</v>
      </c>
      <c r="D34" t="s">
        <v>63</v>
      </c>
    </row>
    <row r="35" spans="1:8" x14ac:dyDescent="0.25">
      <c r="A35" s="3" t="s">
        <v>52</v>
      </c>
    </row>
    <row r="36" spans="1:8" x14ac:dyDescent="0.25">
      <c r="A36" t="s">
        <v>17</v>
      </c>
      <c r="B36">
        <f>C36/$B$2</f>
        <v>0.21765321188251627</v>
      </c>
      <c r="C36">
        <f>$B$2*($H$30/3)</f>
        <v>65473.66</v>
      </c>
    </row>
    <row r="37" spans="1:8" x14ac:dyDescent="0.25">
      <c r="A37" t="s">
        <v>18</v>
      </c>
      <c r="B37">
        <f t="shared" ref="B37:B38" si="9">C37/$B$2</f>
        <v>0.21765321188251627</v>
      </c>
      <c r="C37">
        <f t="shared" ref="C37:C38" si="10">$B$2*($H$30/3)</f>
        <v>65473.66</v>
      </c>
    </row>
    <row r="38" spans="1:8" x14ac:dyDescent="0.25">
      <c r="A38" t="s">
        <v>19</v>
      </c>
      <c r="B38">
        <f t="shared" si="9"/>
        <v>0.21765321188251627</v>
      </c>
      <c r="C38">
        <f t="shared" si="10"/>
        <v>65473.66</v>
      </c>
    </row>
    <row r="39" spans="1:8" x14ac:dyDescent="0.25">
      <c r="A39" t="s">
        <v>27</v>
      </c>
      <c r="B39">
        <f>C39/B2</f>
        <v>0.16621433098632049</v>
      </c>
      <c r="C39">
        <f>H6</f>
        <v>50000</v>
      </c>
    </row>
    <row r="40" spans="1:8" x14ac:dyDescent="0.25">
      <c r="A40" t="s">
        <v>28</v>
      </c>
      <c r="B40">
        <f>C40/B2</f>
        <v>0.19945719718358459</v>
      </c>
      <c r="C40">
        <f>H7</f>
        <v>60000</v>
      </c>
    </row>
    <row r="41" spans="1:8" x14ac:dyDescent="0.25">
      <c r="A41" t="s">
        <v>50</v>
      </c>
      <c r="B41">
        <f>SUM(B36:B40)</f>
        <v>1.0186311638174539</v>
      </c>
      <c r="C41" s="10">
        <f>SUM(C36:C40)</f>
        <v>306420.98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2025-05-26T21:09:08Z</dcterms:modified>
</cp:coreProperties>
</file>