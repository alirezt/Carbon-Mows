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E0D7EF71-FCFA-4CF9-A5E2-F75FD6F30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CI" sheetId="1" r:id="rId1"/>
    <sheet name="GHGRP Landfill Gas Inventory" sheetId="9" r:id="rId2"/>
    <sheet name="Transportation" sheetId="2" r:id="rId3"/>
    <sheet name="Natural gas credit" sheetId="5" r:id="rId4"/>
    <sheet name="Fertilizer credit for compo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4" l="1"/>
  <c r="A28" i="4"/>
  <c r="A21" i="4"/>
  <c r="A15" i="4"/>
  <c r="B9" i="5"/>
  <c r="D8" i="4"/>
  <c r="D7" i="4"/>
  <c r="D9" i="4"/>
  <c r="C7" i="4"/>
  <c r="D6" i="4"/>
  <c r="F6" i="4"/>
  <c r="A41" i="4" l="1"/>
  <c r="A40" i="4"/>
  <c r="A39" i="4"/>
  <c r="D258" i="1" l="1"/>
  <c r="A254" i="1" l="1"/>
  <c r="D8" i="9"/>
  <c r="D9" i="9"/>
  <c r="D7" i="9"/>
  <c r="A143" i="1" l="1"/>
  <c r="A161" i="1"/>
  <c r="A179" i="1"/>
  <c r="A198" i="1"/>
  <c r="A216" i="1"/>
  <c r="A234" i="1"/>
  <c r="D15" i="1" l="1"/>
  <c r="D42" i="1"/>
  <c r="D69" i="1"/>
  <c r="D90" i="1"/>
  <c r="D235" i="1"/>
  <c r="D217" i="1"/>
  <c r="D199" i="1"/>
  <c r="D180" i="1"/>
  <c r="D162" i="1"/>
  <c r="D144" i="1"/>
  <c r="D119" i="1" l="1"/>
  <c r="D121" i="1" s="1"/>
  <c r="A111" i="1"/>
  <c r="A33" i="4"/>
  <c r="D131" i="1" s="1"/>
  <c r="C9" i="4"/>
  <c r="A24" i="4" s="1"/>
  <c r="C8" i="4"/>
  <c r="A25" i="4"/>
  <c r="F7" i="4"/>
  <c r="A32" i="4" s="1"/>
  <c r="D130" i="1" s="1"/>
  <c r="F8" i="4"/>
  <c r="F9" i="4"/>
  <c r="A31" i="4" s="1"/>
  <c r="D129" i="1" s="1"/>
  <c r="A26" i="4" l="1"/>
  <c r="B5" i="5" l="1"/>
  <c r="F12" i="1"/>
  <c r="A12" i="1"/>
  <c r="F39" i="1"/>
  <c r="A39" i="1"/>
  <c r="A87" i="1"/>
  <c r="F87" i="1"/>
  <c r="A16" i="4"/>
  <c r="A17" i="4"/>
  <c r="B12" i="5" l="1"/>
  <c r="B11" i="5"/>
  <c r="F66" i="1"/>
</calcChain>
</file>

<file path=xl/sharedStrings.xml><?xml version="1.0" encoding="utf-8"?>
<sst xmlns="http://schemas.openxmlformats.org/spreadsheetml/2006/main" count="1212" uniqueCount="190">
  <si>
    <t>Database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</si>
  <si>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</si>
  <si>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</si>
  <si>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</si>
  <si>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</si>
  <si>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</si>
  <si>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</si>
  <si>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</si>
  <si>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</si>
  <si>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</si>
  <si>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</si>
  <si>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</si>
  <si>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</si>
  <si>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</si>
  <si>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</si>
  <si>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</si>
  <si>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</si>
  <si>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</si>
  <si>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</si>
  <si>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</si>
  <si>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</si>
  <si>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</si>
  <si>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</si>
  <si>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</si>
  <si>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</si>
  <si>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</si>
  <si>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</si>
  <si>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</si>
  <si>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</si>
  <si>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AD</t>
  </si>
  <si>
    <t>output</t>
  </si>
  <si>
    <t>market for electricity, low voltage</t>
  </si>
  <si>
    <t>electricity, low voltage</t>
  </si>
  <si>
    <t>kilowatt hour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</si>
  <si>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</si>
  <si>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</si>
  <si>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</si>
  <si>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</si>
  <si>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</si>
  <si>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ton kilometer</t>
  </si>
  <si>
    <t>market for transport, freight, lorry &gt;32 metric ton, EURO5</t>
  </si>
  <si>
    <t>transport, freight, lorry &gt;32 metric ton, EURO5</t>
  </si>
  <si>
    <t>RER</t>
  </si>
  <si>
    <t>RoW</t>
  </si>
  <si>
    <t>kilogram</t>
  </si>
  <si>
    <t>wastewater, average</t>
  </si>
  <si>
    <t>cubic meter</t>
  </si>
  <si>
    <t>water</t>
  </si>
  <si>
    <t>biosphere</t>
  </si>
  <si>
    <t>air</t>
  </si>
  <si>
    <t>Ammonia</t>
  </si>
  <si>
    <t>Carbon dioxide, non-fossil</t>
  </si>
  <si>
    <t>Dinitrogen monoxide</t>
  </si>
  <si>
    <t>Hydrogen sulfide</t>
  </si>
  <si>
    <t>Methane, non-fossil</t>
  </si>
  <si>
    <t>substitution</t>
  </si>
  <si>
    <t>CH</t>
  </si>
  <si>
    <t>market for heat, central or small-scale, other than natural gas</t>
  </si>
  <si>
    <t>heat, central or small-scale, other than natural gas</t>
  </si>
  <si>
    <t>megajoule</t>
  </si>
  <si>
    <t>market for tap water</t>
  </si>
  <si>
    <t>tap water</t>
  </si>
  <si>
    <t>Nitrate</t>
  </si>
  <si>
    <t>Nitrite</t>
  </si>
  <si>
    <t>Nitrogen, organic bound</t>
  </si>
  <si>
    <t>Phosphorus</t>
  </si>
  <si>
    <t>Transportation Distance</t>
  </si>
  <si>
    <t xml:space="preserve">Montreal-est TS Adress: </t>
  </si>
  <si>
    <t>9000, place Marien, Montréal-Est</t>
  </si>
  <si>
    <t>Facility</t>
  </si>
  <si>
    <t xml:space="preserve">Distance </t>
  </si>
  <si>
    <t>units</t>
  </si>
  <si>
    <t>Address</t>
  </si>
  <si>
    <t>Note</t>
  </si>
  <si>
    <t>km</t>
  </si>
  <si>
    <t>6985, chemin des Sources, Lachute</t>
  </si>
  <si>
    <t>Unit</t>
  </si>
  <si>
    <t>inorganic nitrogen fertiliser, as N</t>
  </si>
  <si>
    <t>inorganic phosphorus fertiliser, as P2O5</t>
  </si>
  <si>
    <t>inorganic potassium fertiliser, as K2O</t>
  </si>
  <si>
    <t>RNA</t>
  </si>
  <si>
    <t>m3</t>
  </si>
  <si>
    <t>Data provided by waste connections</t>
  </si>
  <si>
    <t>source</t>
  </si>
  <si>
    <t>https://doi.org/10.1016/j.jclepro.2016.06.150</t>
  </si>
  <si>
    <t>kg P2O5</t>
  </si>
  <si>
    <t>kg K2O</t>
  </si>
  <si>
    <t>kg N</t>
  </si>
  <si>
    <t>t dry compost</t>
  </si>
  <si>
    <t>t wet compost</t>
  </si>
  <si>
    <t>t OW</t>
  </si>
  <si>
    <t>MJ/m3</t>
  </si>
  <si>
    <t>%</t>
  </si>
  <si>
    <t xml:space="preserve">Annual production of GNR from AD </t>
  </si>
  <si>
    <t>Facility capacity</t>
  </si>
  <si>
    <t>t OW annually</t>
  </si>
  <si>
    <t>m3/t OW</t>
  </si>
  <si>
    <t>nutrient supply from urea</t>
  </si>
  <si>
    <t>nutrient supply from monoammonium phosphate</t>
  </si>
  <si>
    <t>natural gas, high pressure</t>
  </si>
  <si>
    <t>market for natural gas, high pressure</t>
  </si>
  <si>
    <t>ecoinvent-3.9.1-cutoff</t>
  </si>
  <si>
    <t>ecoinvent-3.9-biosphere</t>
  </si>
  <si>
    <t>OWM Facilities</t>
  </si>
  <si>
    <t>treatment of wastewater, average, wastewater treatment</t>
  </si>
  <si>
    <t>CA</t>
  </si>
  <si>
    <t>NMVOC, non-methane volatile organic compounds</t>
  </si>
  <si>
    <t>nutrient supply from potassium nitrate</t>
  </si>
  <si>
    <t>market for diesel</t>
  </si>
  <si>
    <t>diesel</t>
  </si>
  <si>
    <t>Annual production of RNG from landfill</t>
  </si>
  <si>
    <t>m3/ton OFMSW</t>
  </si>
  <si>
    <t>Avoided Natural gas AD</t>
  </si>
  <si>
    <t>Avoided Natural gas landfill</t>
  </si>
  <si>
    <t>CO2</t>
  </si>
  <si>
    <t>N2O</t>
  </si>
  <si>
    <t>application of digestate</t>
  </si>
  <si>
    <t>moisture content</t>
  </si>
  <si>
    <t>kg N/ t dry compst</t>
  </si>
  <si>
    <t>t wet digestate</t>
  </si>
  <si>
    <t>t dry digestate</t>
  </si>
  <si>
    <t>on a wet basis</t>
  </si>
  <si>
    <t xml:space="preserve">AD_city </t>
  </si>
  <si>
    <t>adapted from Lewerenz et al., 2023; uses GES report data for CO2, CH4, N2O</t>
  </si>
  <si>
    <t>Data provided by Eric at the City</t>
  </si>
  <si>
    <t>sulfuric acid</t>
  </si>
  <si>
    <t>market for sulfuric acid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</si>
  <si>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</si>
  <si>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</si>
  <si>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</si>
  <si>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</si>
  <si>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</si>
  <si>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</si>
  <si>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High organic content (HOC)</t>
  </si>
  <si>
    <t>Annual production of RNG from AD</t>
  </si>
  <si>
    <t>N/A</t>
  </si>
  <si>
    <t>Distance on google maps from Montreal-Est transfer station to Lachute Landfill</t>
  </si>
  <si>
    <t>Obtained from 2024 report from the City of Montreal</t>
  </si>
  <si>
    <t>Landfill Name</t>
  </si>
  <si>
    <t>GHGRP ID</t>
  </si>
  <si>
    <t>NPRI ID</t>
  </si>
  <si>
    <t>Complexe Enviro Connexions</t>
  </si>
  <si>
    <t xml:space="preserve">RNG </t>
  </si>
  <si>
    <t>G10401</t>
  </si>
  <si>
    <t>LET de Lachute</t>
  </si>
  <si>
    <t>Electricity</t>
  </si>
  <si>
    <t>G10538</t>
  </si>
  <si>
    <t>Gas</t>
  </si>
  <si>
    <t>Sum (tonnes)</t>
  </si>
  <si>
    <t>tonnes/tonne organic waste in landfill</t>
  </si>
  <si>
    <t>LET de Ste-Sophie</t>
  </si>
  <si>
    <t>Direct Use (RNG under development)</t>
  </si>
  <si>
    <t>G10344</t>
  </si>
  <si>
    <t>12 051</t>
  </si>
  <si>
    <t>kg/tonne OFMSW</t>
  </si>
  <si>
    <t>LET de St-Nicéphore</t>
  </si>
  <si>
    <t>G10572</t>
  </si>
  <si>
    <t>36 364</t>
  </si>
  <si>
    <t>LET de St-Thomas (Rive-Nord)</t>
  </si>
  <si>
    <t>G10730</t>
  </si>
  <si>
    <t>LET Roland Thibault Inc</t>
  </si>
  <si>
    <t>G10633</t>
  </si>
  <si>
    <t>HFCs</t>
  </si>
  <si>
    <t>PFCs</t>
  </si>
  <si>
    <t>Total :</t>
  </si>
  <si>
    <t>49 180</t>
  </si>
  <si>
    <t>Closed_composter_city_final</t>
  </si>
  <si>
    <t>kg N/ t dry compost</t>
  </si>
  <si>
    <t>1 t OW</t>
  </si>
  <si>
    <t>Sum (tonnes CO2 eq )</t>
  </si>
  <si>
    <t>CH4</t>
  </si>
  <si>
    <t>SF6</t>
  </si>
  <si>
    <t>Natural gas calorific value</t>
  </si>
  <si>
    <t>Biogas calorific value</t>
  </si>
  <si>
    <t>Efficiency of biogas relative to NG</t>
  </si>
  <si>
    <t>Literature compost</t>
  </si>
  <si>
    <t>Avoided synthetic fertilizer from compost and digestate</t>
  </si>
  <si>
    <t xml:space="preserve">Windrow compost </t>
  </si>
  <si>
    <t>City compost final</t>
  </si>
  <si>
    <t>Digestate</t>
  </si>
  <si>
    <t>Conversion of dry basis to wet</t>
  </si>
  <si>
    <t>Inventory calculations</t>
  </si>
  <si>
    <t>Avoided fossil natural gas from landfills and anaerobic digestion (AD)</t>
  </si>
  <si>
    <t>note:</t>
  </si>
  <si>
    <t>Units</t>
  </si>
  <si>
    <t>GHG Emissions for Landfills from GHGRP Landfill Gas Inventory</t>
  </si>
  <si>
    <t>Lachenaie (Terrebonne) Landfill GHG emissions from GHGRP inventory</t>
  </si>
  <si>
    <t>Assume other landfills are approximated by this data</t>
  </si>
  <si>
    <t>Current LFG Management System (2022)</t>
  </si>
  <si>
    <t>Landfilled organic waste at Lachenaie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</si>
</sst>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0000"/>
    <numFmt numFmtId="166" formatCode="0.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5"/>
      <color rgb="FF333333"/>
      <name val="Arial"/>
      <family val="2"/>
    </font>
    <font>
      <sz val="15"/>
      <color rgb="FF333333"/>
      <name val="Arial"/>
      <family val="2"/>
    </font>
    <font>
      <sz val="18"/>
      <color theme="3"/>
      <name val="Calibri Light"/>
      <family val="2"/>
      <scheme val="major"/>
    </font>
    <font>
      <b/>
      <u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1" fillId="0" borderId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11" fontId="0" fillId="0" borderId="1" xfId="0" applyNumberFormat="1" applyBorder="1"/>
    <xf numFmtId="0" fontId="0" fillId="3" borderId="0" xfId="0" applyFill="1"/>
    <xf numFmtId="9" fontId="0" fillId="0" borderId="0" xfId="0" applyNumberFormat="1"/>
    <xf numFmtId="0" fontId="4" fillId="0" borderId="0" xfId="0" applyFont="1" applyAlignment="1">
      <alignment horizontal="left" vertical="center"/>
    </xf>
    <xf numFmtId="0" fontId="5" fillId="0" borderId="2" xfId="2"/>
    <xf numFmtId="0" fontId="2" fillId="0" borderId="0" xfId="0" applyFont="1" applyAlignment="1">
      <alignment wrapText="1"/>
    </xf>
    <xf numFmtId="0" fontId="9" fillId="0" borderId="0" xfId="5"/>
    <xf numFmtId="0" fontId="9" fillId="0" borderId="0" xfId="5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6" fillId="0" borderId="0" xfId="3" applyNumberFormat="1" applyFill="1" applyBorder="1" applyAlignment="1">
      <alignment horizontal="center" vertical="center"/>
    </xf>
    <xf numFmtId="0" fontId="6" fillId="0" borderId="0" xfId="3" applyFill="1" applyBorder="1" applyAlignment="1">
      <alignment horizontal="center" vertical="center" wrapText="1"/>
    </xf>
    <xf numFmtId="166" fontId="6" fillId="0" borderId="0" xfId="3" applyNumberForma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0" xfId="3" applyFill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0" fillId="0" borderId="0" xfId="4" applyFont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top"/>
    </xf>
    <xf numFmtId="0" fontId="11" fillId="2" borderId="0" xfId="0" applyFont="1" applyFill="1" applyAlignment="1">
      <alignment horizontal="left"/>
    </xf>
    <xf numFmtId="0" fontId="9" fillId="0" borderId="0" xfId="5" applyFill="1" applyBorder="1"/>
    <xf numFmtId="0" fontId="5" fillId="0" borderId="2" xfId="2" applyFill="1"/>
    <xf numFmtId="0" fontId="11" fillId="2" borderId="0" xfId="0" applyFont="1" applyFill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6">
    <cellStyle name="Heading 1" xfId="2" builtinId="16"/>
    <cellStyle name="Hyperlink" xfId="3" builtinId="8"/>
    <cellStyle name="Normal" xfId="0" builtinId="0"/>
    <cellStyle name="Normal 2" xfId="1" xr:uid="{C1984B5A-0E98-421D-9649-8C2FA38520A2}"/>
    <cellStyle name="Normal 40" xfId="4" xr:uid="{7BE8D608-A203-405C-90D4-86F8A4CC7AC4}"/>
    <cellStyle name="Title" xfId="5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limate-change.canada.ca/facility-emissions/GHGRP-G10572-2022.html" TargetMode="External"/><Relationship Id="rId3" Type="http://schemas.openxmlformats.org/officeDocument/2006/relationships/hyperlink" Target="https://climate-change.canada.ca/facility-emissions/GHGRP-G10538-2022.html" TargetMode="External"/><Relationship Id="rId7" Type="http://schemas.openxmlformats.org/officeDocument/2006/relationships/hyperlink" Target="https://pollution-waste.canada.ca/national-release-inventory/2023/6171" TargetMode="External"/><Relationship Id="rId2" Type="http://schemas.openxmlformats.org/officeDocument/2006/relationships/hyperlink" Target="https://pollution-waste.canada.ca/national-release-inventory/2023/6370" TargetMode="External"/><Relationship Id="rId1" Type="http://schemas.openxmlformats.org/officeDocument/2006/relationships/hyperlink" Target="https://climate-change.canada.ca/facility-emissions/GHGRP-G10401-2022.html" TargetMode="External"/><Relationship Id="rId6" Type="http://schemas.openxmlformats.org/officeDocument/2006/relationships/hyperlink" Target="https://climate-change.canada.ca/facility-emissions/GHGRP-G10344-2022.html" TargetMode="External"/><Relationship Id="rId11" Type="http://schemas.openxmlformats.org/officeDocument/2006/relationships/hyperlink" Target="https://climate-change.canada.ca/facility-emissions/GHGRP-G10633-2022.html" TargetMode="External"/><Relationship Id="rId5" Type="http://schemas.openxmlformats.org/officeDocument/2006/relationships/hyperlink" Target="https://pollution-waste.canada.ca/national-release-inventory/2023/6173" TargetMode="External"/><Relationship Id="rId10" Type="http://schemas.openxmlformats.org/officeDocument/2006/relationships/hyperlink" Target="https://pollution-waste.canada.ca/national-release-inventory/2023/31585" TargetMode="External"/><Relationship Id="rId4" Type="http://schemas.openxmlformats.org/officeDocument/2006/relationships/hyperlink" Target="https://pollution-waste.canada.ca/national-release-inventory/2023/27915" TargetMode="External"/><Relationship Id="rId9" Type="http://schemas.openxmlformats.org/officeDocument/2006/relationships/hyperlink" Target="https://climate-change.canada.ca/facility-emissions/GHGRP-G10730-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"/>
  <sheetViews>
    <sheetView tabSelected="1" topLeftCell="A64" zoomScale="71" zoomScaleNormal="90" workbookViewId="0">
      <selection activeCell="D124" sqref="D124"/>
    </sheetView>
  </sheetViews>
  <sheetFormatPr defaultRowHeight="15" x14ac:dyDescent="0.25"/>
  <cols>
    <col min="1" max="1" width="67.42578125" customWidth="1"/>
    <col min="2" max="2" width="50.85546875" customWidth="1"/>
    <col min="4" max="4" width="12.85546875" customWidth="1"/>
    <col min="6" max="6" width="28.140625" customWidth="1"/>
    <col min="7" max="7" width="18.85546875" customWidth="1"/>
  </cols>
  <sheetData>
    <row r="1" spans="1:9" x14ac:dyDescent="0.25">
      <c r="A1" s="1" t="s">
        <v>0</v>
      </c>
      <c r="B1" s="2" t="s">
        <v>103</v>
      </c>
    </row>
    <row r="3" spans="1:9" x14ac:dyDescent="0.25">
      <c r="D3" s="12"/>
    </row>
    <row r="4" spans="1:9" x14ac:dyDescent="0.25">
      <c r="A4" s="1" t="s">
        <v>1</v>
      </c>
      <c r="B4" s="2" t="s">
        <v>24</v>
      </c>
      <c r="C4" s="2"/>
      <c r="D4" s="2"/>
      <c r="E4" s="2"/>
      <c r="F4" s="2"/>
      <c r="G4" s="2"/>
      <c r="H4" s="2"/>
      <c r="I4" s="2"/>
    </row>
    <row r="5" spans="1:9" x14ac:dyDescent="0.25">
      <c r="A5" s="3" t="s">
        <v>2</v>
      </c>
      <c r="B5" t="s">
        <v>82</v>
      </c>
    </row>
    <row r="6" spans="1:9" x14ac:dyDescent="0.25">
      <c r="A6" s="4" t="s">
        <v>3</v>
      </c>
      <c r="B6" s="5" t="s">
        <v>4</v>
      </c>
      <c r="C6" s="5"/>
      <c r="D6" s="5"/>
      <c r="E6" s="5"/>
      <c r="F6" s="5"/>
      <c r="G6" s="5"/>
      <c r="H6" s="5"/>
      <c r="I6" s="5"/>
    </row>
    <row r="7" spans="1:9" x14ac:dyDescent="0.25">
      <c r="A7" s="4" t="s">
        <v>5</v>
      </c>
      <c r="B7" s="6">
        <v>1</v>
      </c>
      <c r="C7" s="5"/>
      <c r="D7" s="5"/>
      <c r="E7" s="5"/>
      <c r="F7" s="5"/>
      <c r="G7" s="5"/>
      <c r="H7" s="5"/>
      <c r="I7" s="5"/>
    </row>
    <row r="8" spans="1:9" x14ac:dyDescent="0.25">
      <c r="A8" s="4" t="s">
        <v>6</v>
      </c>
      <c r="B8" s="7" t="s">
        <v>7</v>
      </c>
      <c r="C8" s="5"/>
      <c r="D8" s="5"/>
      <c r="E8" s="5"/>
      <c r="F8" s="5"/>
      <c r="G8" s="5"/>
      <c r="H8" s="5"/>
      <c r="I8" s="5"/>
    </row>
    <row r="10" spans="1:9" x14ac:dyDescent="0.25">
      <c r="A10" s="3" t="s">
        <v>8</v>
      </c>
    </row>
    <row r="11" spans="1:9" x14ac:dyDescent="0.25">
      <c r="A11" s="3" t="s">
        <v>9</v>
      </c>
      <c r="B11" s="3" t="s">
        <v>10</v>
      </c>
      <c r="C11" s="3" t="s">
        <v>6</v>
      </c>
      <c r="D11" s="8" t="s">
        <v>11</v>
      </c>
      <c r="E11" s="3" t="s">
        <v>3</v>
      </c>
      <c r="F11" s="3" t="s">
        <v>12</v>
      </c>
      <c r="G11" s="3" t="s">
        <v>13</v>
      </c>
      <c r="H11" s="3" t="s">
        <v>14</v>
      </c>
      <c r="I11" s="3" t="s">
        <v>2</v>
      </c>
    </row>
    <row r="12" spans="1:9" x14ac:dyDescent="0.25">
      <c r="A12" t="str">
        <f>B4</f>
        <v>Composter_casselman</v>
      </c>
      <c r="B12" t="s">
        <v>15</v>
      </c>
      <c r="C12" t="s">
        <v>7</v>
      </c>
      <c r="D12" s="9">
        <v>1</v>
      </c>
      <c r="E12" t="s">
        <v>4</v>
      </c>
      <c r="F12" t="str">
        <f>$B$1</f>
        <v>OWM Facilities</v>
      </c>
      <c r="G12" t="s">
        <v>16</v>
      </c>
      <c r="H12" s="3"/>
      <c r="I12" t="s">
        <v>30</v>
      </c>
    </row>
    <row r="13" spans="1:9" x14ac:dyDescent="0.25">
      <c r="A13" s="9" t="s">
        <v>31</v>
      </c>
      <c r="B13" t="s">
        <v>32</v>
      </c>
      <c r="C13" t="s">
        <v>33</v>
      </c>
      <c r="D13">
        <v>1.6772116902968379</v>
      </c>
      <c r="E13" t="s">
        <v>4</v>
      </c>
      <c r="F13" s="16" t="s">
        <v>101</v>
      </c>
      <c r="G13" t="s">
        <v>18</v>
      </c>
      <c r="I13" t="s">
        <v>34</v>
      </c>
    </row>
    <row r="14" spans="1:9" x14ac:dyDescent="0.25">
      <c r="A14" t="s">
        <v>108</v>
      </c>
      <c r="B14" t="s">
        <v>109</v>
      </c>
      <c r="C14" t="s">
        <v>44</v>
      </c>
      <c r="D14" s="13">
        <v>2.5320055641349066</v>
      </c>
      <c r="E14" t="s">
        <v>43</v>
      </c>
      <c r="F14" s="16" t="s">
        <v>101</v>
      </c>
      <c r="G14" t="s">
        <v>18</v>
      </c>
      <c r="I14" t="s">
        <v>34</v>
      </c>
    </row>
    <row r="15" spans="1:9" x14ac:dyDescent="0.25">
      <c r="A15" t="s">
        <v>40</v>
      </c>
      <c r="B15" t="s">
        <v>41</v>
      </c>
      <c r="C15" t="s">
        <v>39</v>
      </c>
      <c r="D15" s="10">
        <f>Transportation!B10</f>
        <v>133</v>
      </c>
      <c r="E15" t="s">
        <v>42</v>
      </c>
      <c r="F15" s="16" t="s">
        <v>101</v>
      </c>
      <c r="G15" t="s">
        <v>18</v>
      </c>
      <c r="I15" t="s">
        <v>34</v>
      </c>
    </row>
    <row r="16" spans="1:9" x14ac:dyDescent="0.25">
      <c r="A16" t="s">
        <v>104</v>
      </c>
      <c r="B16" t="s">
        <v>45</v>
      </c>
      <c r="C16" t="s">
        <v>46</v>
      </c>
      <c r="D16">
        <v>-7.28915519494213</v>
      </c>
      <c r="E16" t="s">
        <v>4</v>
      </c>
      <c r="F16" s="16" t="s">
        <v>101</v>
      </c>
      <c r="G16" t="s">
        <v>18</v>
      </c>
      <c r="I16" t="s">
        <v>30</v>
      </c>
    </row>
    <row r="17" spans="1:9" x14ac:dyDescent="0.25">
      <c r="A17" t="s">
        <v>50</v>
      </c>
      <c r="C17" t="s">
        <v>44</v>
      </c>
      <c r="D17">
        <v>5.6135340059469772E-4</v>
      </c>
      <c r="F17" s="16" t="s">
        <v>102</v>
      </c>
      <c r="G17" t="s">
        <v>48</v>
      </c>
      <c r="H17" t="s">
        <v>49</v>
      </c>
      <c r="I17" t="s">
        <v>30</v>
      </c>
    </row>
    <row r="18" spans="1:9" x14ac:dyDescent="0.25">
      <c r="A18" t="s">
        <v>52</v>
      </c>
      <c r="C18" t="s">
        <v>44</v>
      </c>
      <c r="D18">
        <v>0.2245413602378791</v>
      </c>
      <c r="F18" s="16" t="s">
        <v>102</v>
      </c>
      <c r="G18" t="s">
        <v>48</v>
      </c>
      <c r="H18" t="s">
        <v>49</v>
      </c>
      <c r="I18" t="s">
        <v>30</v>
      </c>
    </row>
    <row r="19" spans="1:9" x14ac:dyDescent="0.25">
      <c r="A19" t="s">
        <v>54</v>
      </c>
      <c r="C19" t="s">
        <v>44</v>
      </c>
      <c r="D19">
        <v>1.6279248617246236</v>
      </c>
      <c r="F19" s="16" t="s">
        <v>102</v>
      </c>
      <c r="G19" t="s">
        <v>48</v>
      </c>
      <c r="H19" t="s">
        <v>49</v>
      </c>
      <c r="I19" t="s">
        <v>30</v>
      </c>
    </row>
    <row r="20" spans="1:9" x14ac:dyDescent="0.25">
      <c r="A20" t="s">
        <v>106</v>
      </c>
      <c r="C20" t="s">
        <v>44</v>
      </c>
      <c r="D20" s="11">
        <v>1.0852832411497491E-3</v>
      </c>
      <c r="F20" s="16" t="s">
        <v>102</v>
      </c>
      <c r="G20" t="s">
        <v>48</v>
      </c>
      <c r="H20" t="s">
        <v>49</v>
      </c>
      <c r="I20" t="s">
        <v>30</v>
      </c>
    </row>
    <row r="21" spans="1:9" x14ac:dyDescent="0.25">
      <c r="A21" t="s">
        <v>97</v>
      </c>
      <c r="B21" t="s">
        <v>77</v>
      </c>
      <c r="C21" t="s">
        <v>44</v>
      </c>
      <c r="D21">
        <v>0.29528799999999999</v>
      </c>
      <c r="E21" t="s">
        <v>80</v>
      </c>
      <c r="F21" s="16" t="s">
        <v>101</v>
      </c>
      <c r="G21" t="s">
        <v>55</v>
      </c>
    </row>
    <row r="22" spans="1:9" x14ac:dyDescent="0.25">
      <c r="A22" t="s">
        <v>98</v>
      </c>
      <c r="B22" t="s">
        <v>78</v>
      </c>
      <c r="C22" t="s">
        <v>44</v>
      </c>
      <c r="D22">
        <v>0.168736</v>
      </c>
      <c r="E22" t="s">
        <v>80</v>
      </c>
      <c r="F22" s="16" t="s">
        <v>101</v>
      </c>
      <c r="G22" t="s">
        <v>55</v>
      </c>
    </row>
    <row r="23" spans="1:9" x14ac:dyDescent="0.25">
      <c r="A23" t="s">
        <v>107</v>
      </c>
      <c r="B23" t="s">
        <v>79</v>
      </c>
      <c r="C23" t="s">
        <v>44</v>
      </c>
      <c r="D23">
        <v>0.253104</v>
      </c>
      <c r="E23" t="s">
        <v>80</v>
      </c>
      <c r="F23" s="16" t="s">
        <v>101</v>
      </c>
      <c r="G23" t="s">
        <v>55</v>
      </c>
    </row>
    <row r="24" spans="1:9" x14ac:dyDescent="0.25">
      <c r="D24" s="10"/>
    </row>
    <row r="25" spans="1:9" x14ac:dyDescent="0.25">
      <c r="D25" s="10"/>
    </row>
    <row r="26" spans="1:9" x14ac:dyDescent="0.25">
      <c r="D26" s="11"/>
    </row>
    <row r="27" spans="1:9" x14ac:dyDescent="0.25">
      <c r="B27" s="11"/>
      <c r="D27" s="12"/>
      <c r="F27" s="16"/>
    </row>
    <row r="28" spans="1:9" x14ac:dyDescent="0.25">
      <c r="F28" s="16"/>
    </row>
    <row r="29" spans="1:9" x14ac:dyDescent="0.25">
      <c r="F29" s="16"/>
    </row>
    <row r="31" spans="1:9" x14ac:dyDescent="0.25">
      <c r="A31" s="1" t="s">
        <v>1</v>
      </c>
      <c r="B31" s="2" t="s">
        <v>25</v>
      </c>
      <c r="C31" s="2"/>
      <c r="D31" s="2"/>
      <c r="E31" s="2"/>
      <c r="F31" s="2"/>
      <c r="G31" s="2"/>
      <c r="H31" s="2"/>
      <c r="I31" s="2"/>
    </row>
    <row r="32" spans="1:9" x14ac:dyDescent="0.25">
      <c r="A32" s="3" t="s">
        <v>2</v>
      </c>
      <c r="B32" t="s">
        <v>82</v>
      </c>
    </row>
    <row r="33" spans="1:9" x14ac:dyDescent="0.25">
      <c r="A33" s="4" t="s">
        <v>3</v>
      </c>
      <c r="B33" s="5" t="s">
        <v>4</v>
      </c>
      <c r="C33" s="5"/>
      <c r="D33" s="5"/>
      <c r="E33" s="5"/>
      <c r="F33" s="5"/>
      <c r="G33" s="5"/>
      <c r="H33" s="5"/>
      <c r="I33" s="5"/>
    </row>
    <row r="34" spans="1:9" x14ac:dyDescent="0.25">
      <c r="A34" s="4" t="s">
        <v>5</v>
      </c>
      <c r="B34" s="6">
        <v>1</v>
      </c>
      <c r="C34" s="5"/>
      <c r="D34" s="5"/>
      <c r="E34" s="5"/>
      <c r="F34" s="5"/>
      <c r="G34" s="5"/>
      <c r="H34" s="5"/>
      <c r="I34" s="5"/>
    </row>
    <row r="35" spans="1:9" x14ac:dyDescent="0.25">
      <c r="A35" s="4" t="s">
        <v>6</v>
      </c>
      <c r="B35" s="7" t="s">
        <v>7</v>
      </c>
      <c r="C35" s="5"/>
      <c r="D35" s="5"/>
      <c r="E35" s="5"/>
      <c r="F35" s="5"/>
      <c r="G35" s="5"/>
      <c r="H35" s="5"/>
      <c r="I35" s="5"/>
    </row>
    <row r="37" spans="1:9" x14ac:dyDescent="0.25">
      <c r="A37" s="3" t="s">
        <v>8</v>
      </c>
    </row>
    <row r="38" spans="1:9" x14ac:dyDescent="0.25">
      <c r="A38" s="3" t="s">
        <v>9</v>
      </c>
      <c r="B38" s="3" t="s">
        <v>10</v>
      </c>
      <c r="C38" s="3" t="s">
        <v>6</v>
      </c>
      <c r="D38" s="8" t="s">
        <v>11</v>
      </c>
      <c r="E38" s="3" t="s">
        <v>3</v>
      </c>
      <c r="F38" s="3" t="s">
        <v>12</v>
      </c>
      <c r="G38" s="3" t="s">
        <v>13</v>
      </c>
      <c r="H38" s="3" t="s">
        <v>14</v>
      </c>
      <c r="I38" s="3" t="s">
        <v>2</v>
      </c>
    </row>
    <row r="39" spans="1:9" x14ac:dyDescent="0.25">
      <c r="A39" t="str">
        <f>B31</f>
        <v>Composter_complexe enviro st Michel</v>
      </c>
      <c r="B39" t="s">
        <v>15</v>
      </c>
      <c r="C39" t="s">
        <v>7</v>
      </c>
      <c r="D39" s="9">
        <v>1</v>
      </c>
      <c r="E39" t="s">
        <v>4</v>
      </c>
      <c r="F39" t="str">
        <f>$B$1</f>
        <v>OWM Facilities</v>
      </c>
      <c r="G39" t="s">
        <v>16</v>
      </c>
      <c r="H39" s="3"/>
      <c r="I39" t="s">
        <v>30</v>
      </c>
    </row>
    <row r="40" spans="1:9" x14ac:dyDescent="0.25">
      <c r="A40" s="9" t="s">
        <v>31</v>
      </c>
      <c r="B40" t="s">
        <v>32</v>
      </c>
      <c r="C40" t="s">
        <v>33</v>
      </c>
      <c r="D40">
        <v>1.6772116902968379</v>
      </c>
      <c r="E40" t="s">
        <v>4</v>
      </c>
      <c r="F40" s="16" t="s">
        <v>101</v>
      </c>
      <c r="G40" t="s">
        <v>18</v>
      </c>
      <c r="I40" t="s">
        <v>34</v>
      </c>
    </row>
    <row r="41" spans="1:9" x14ac:dyDescent="0.25">
      <c r="A41" t="s">
        <v>108</v>
      </c>
      <c r="B41" t="s">
        <v>109</v>
      </c>
      <c r="C41" t="s">
        <v>44</v>
      </c>
      <c r="D41" s="13">
        <v>2.5320055641349066</v>
      </c>
      <c r="E41" t="s">
        <v>43</v>
      </c>
      <c r="F41" s="16" t="s">
        <v>101</v>
      </c>
      <c r="G41" t="s">
        <v>18</v>
      </c>
      <c r="I41" t="s">
        <v>34</v>
      </c>
    </row>
    <row r="42" spans="1:9" x14ac:dyDescent="0.25">
      <c r="A42" t="s">
        <v>40</v>
      </c>
      <c r="B42" t="s">
        <v>41</v>
      </c>
      <c r="C42" t="s">
        <v>39</v>
      </c>
      <c r="D42" s="10">
        <f>Transportation!B11</f>
        <v>6</v>
      </c>
      <c r="E42" t="s">
        <v>42</v>
      </c>
      <c r="F42" s="16" t="s">
        <v>101</v>
      </c>
      <c r="G42" t="s">
        <v>18</v>
      </c>
      <c r="I42" t="s">
        <v>34</v>
      </c>
    </row>
    <row r="43" spans="1:9" x14ac:dyDescent="0.25">
      <c r="A43" t="s">
        <v>104</v>
      </c>
      <c r="B43" t="s">
        <v>45</v>
      </c>
      <c r="C43" t="s">
        <v>46</v>
      </c>
      <c r="D43">
        <v>-7.28915519494213</v>
      </c>
      <c r="E43" t="s">
        <v>4</v>
      </c>
      <c r="F43" s="16" t="s">
        <v>101</v>
      </c>
      <c r="G43" t="s">
        <v>18</v>
      </c>
      <c r="I43" t="s">
        <v>30</v>
      </c>
    </row>
    <row r="44" spans="1:9" x14ac:dyDescent="0.25">
      <c r="A44" t="s">
        <v>50</v>
      </c>
      <c r="C44" t="s">
        <v>44</v>
      </c>
      <c r="D44">
        <v>5.6135340059469772E-4</v>
      </c>
      <c r="F44" s="16" t="s">
        <v>102</v>
      </c>
      <c r="G44" t="s">
        <v>48</v>
      </c>
      <c r="H44" t="s">
        <v>49</v>
      </c>
      <c r="I44" t="s">
        <v>30</v>
      </c>
    </row>
    <row r="45" spans="1:9" x14ac:dyDescent="0.25">
      <c r="A45" t="s">
        <v>52</v>
      </c>
      <c r="C45" t="s">
        <v>44</v>
      </c>
      <c r="D45">
        <v>0.2245413602378791</v>
      </c>
      <c r="F45" s="16" t="s">
        <v>102</v>
      </c>
      <c r="G45" t="s">
        <v>48</v>
      </c>
      <c r="H45" t="s">
        <v>49</v>
      </c>
      <c r="I45" t="s">
        <v>30</v>
      </c>
    </row>
    <row r="46" spans="1:9" x14ac:dyDescent="0.25">
      <c r="A46" t="s">
        <v>54</v>
      </c>
      <c r="C46" t="s">
        <v>44</v>
      </c>
      <c r="D46" s="10">
        <v>1.6279248617246236</v>
      </c>
      <c r="F46" s="16" t="s">
        <v>102</v>
      </c>
      <c r="G46" t="s">
        <v>48</v>
      </c>
      <c r="H46" t="s">
        <v>49</v>
      </c>
      <c r="I46" t="s">
        <v>30</v>
      </c>
    </row>
    <row r="47" spans="1:9" x14ac:dyDescent="0.25">
      <c r="A47" t="s">
        <v>106</v>
      </c>
      <c r="C47" t="s">
        <v>44</v>
      </c>
      <c r="D47" s="11">
        <v>1.0852832411497491E-3</v>
      </c>
      <c r="F47" s="16" t="s">
        <v>102</v>
      </c>
      <c r="G47" t="s">
        <v>48</v>
      </c>
      <c r="H47" t="s">
        <v>49</v>
      </c>
      <c r="I47" t="s">
        <v>30</v>
      </c>
    </row>
    <row r="48" spans="1:9" x14ac:dyDescent="0.25">
      <c r="A48" t="s">
        <v>97</v>
      </c>
      <c r="B48" t="s">
        <v>77</v>
      </c>
      <c r="C48" t="s">
        <v>44</v>
      </c>
      <c r="D48">
        <v>0.29528799999999999</v>
      </c>
      <c r="E48" t="s">
        <v>80</v>
      </c>
      <c r="F48" s="16" t="s">
        <v>101</v>
      </c>
      <c r="G48" t="s">
        <v>55</v>
      </c>
    </row>
    <row r="49" spans="1:9" x14ac:dyDescent="0.25">
      <c r="A49" t="s">
        <v>98</v>
      </c>
      <c r="B49" t="s">
        <v>78</v>
      </c>
      <c r="C49" t="s">
        <v>44</v>
      </c>
      <c r="D49">
        <v>0.168736</v>
      </c>
      <c r="E49" t="s">
        <v>80</v>
      </c>
      <c r="F49" s="16" t="s">
        <v>101</v>
      </c>
      <c r="G49" t="s">
        <v>55</v>
      </c>
    </row>
    <row r="50" spans="1:9" x14ac:dyDescent="0.25">
      <c r="A50" t="s">
        <v>107</v>
      </c>
      <c r="B50" t="s">
        <v>79</v>
      </c>
      <c r="C50" t="s">
        <v>44</v>
      </c>
      <c r="D50">
        <v>0.253104</v>
      </c>
      <c r="E50" t="s">
        <v>80</v>
      </c>
      <c r="F50" s="16" t="s">
        <v>101</v>
      </c>
      <c r="G50" t="s">
        <v>55</v>
      </c>
    </row>
    <row r="51" spans="1:9" x14ac:dyDescent="0.25">
      <c r="D51" s="10"/>
    </row>
    <row r="52" spans="1:9" x14ac:dyDescent="0.25">
      <c r="D52" s="10"/>
    </row>
    <row r="53" spans="1:9" x14ac:dyDescent="0.25">
      <c r="D53" s="11"/>
    </row>
    <row r="54" spans="1:9" x14ac:dyDescent="0.25">
      <c r="B54" s="11"/>
      <c r="D54" s="12"/>
      <c r="F54" s="16"/>
    </row>
    <row r="55" spans="1:9" x14ac:dyDescent="0.25">
      <c r="F55" s="16"/>
    </row>
    <row r="56" spans="1:9" x14ac:dyDescent="0.25">
      <c r="F56" s="16"/>
    </row>
    <row r="58" spans="1:9" x14ac:dyDescent="0.25">
      <c r="A58" s="1" t="s">
        <v>1</v>
      </c>
      <c r="B58" s="2" t="s">
        <v>26</v>
      </c>
      <c r="C58" s="2"/>
      <c r="D58" s="2"/>
      <c r="E58" s="2"/>
      <c r="F58" s="2"/>
      <c r="G58" s="2"/>
      <c r="H58" s="2"/>
      <c r="I58" s="2"/>
    </row>
    <row r="59" spans="1:9" x14ac:dyDescent="0.25">
      <c r="A59" s="3" t="s">
        <v>2</v>
      </c>
      <c r="B59" t="s">
        <v>82</v>
      </c>
    </row>
    <row r="60" spans="1:9" x14ac:dyDescent="0.25">
      <c r="A60" s="4" t="s">
        <v>3</v>
      </c>
      <c r="B60" s="5" t="s">
        <v>4</v>
      </c>
      <c r="C60" s="5"/>
      <c r="D60" s="5"/>
      <c r="E60" s="5"/>
      <c r="F60" s="5"/>
      <c r="G60" s="5"/>
      <c r="H60" s="5"/>
      <c r="I60" s="5"/>
    </row>
    <row r="61" spans="1:9" x14ac:dyDescent="0.25">
      <c r="A61" s="4" t="s">
        <v>5</v>
      </c>
      <c r="B61" s="6">
        <v>1</v>
      </c>
      <c r="C61" s="5"/>
      <c r="D61" s="5"/>
      <c r="E61" s="5"/>
      <c r="F61" s="5"/>
      <c r="G61" s="5"/>
      <c r="H61" s="5"/>
      <c r="I61" s="5"/>
    </row>
    <row r="62" spans="1:9" x14ac:dyDescent="0.25">
      <c r="A62" s="4" t="s">
        <v>6</v>
      </c>
      <c r="B62" s="7" t="s">
        <v>7</v>
      </c>
      <c r="C62" s="5"/>
      <c r="D62" s="5"/>
      <c r="E62" s="5"/>
      <c r="F62" s="5"/>
      <c r="G62" s="5"/>
      <c r="H62" s="5"/>
      <c r="I62" s="5"/>
    </row>
    <row r="64" spans="1:9" x14ac:dyDescent="0.25">
      <c r="A64" s="3" t="s">
        <v>8</v>
      </c>
    </row>
    <row r="65" spans="1:9" x14ac:dyDescent="0.25">
      <c r="A65" s="3" t="s">
        <v>9</v>
      </c>
      <c r="B65" s="3" t="s">
        <v>10</v>
      </c>
      <c r="C65" s="3" t="s">
        <v>6</v>
      </c>
      <c r="D65" s="8" t="s">
        <v>11</v>
      </c>
      <c r="E65" s="3" t="s">
        <v>3</v>
      </c>
      <c r="F65" s="3" t="s">
        <v>12</v>
      </c>
      <c r="G65" s="3" t="s">
        <v>13</v>
      </c>
      <c r="H65" s="3" t="s">
        <v>14</v>
      </c>
      <c r="I65" s="3" t="s">
        <v>2</v>
      </c>
    </row>
    <row r="66" spans="1:9" x14ac:dyDescent="0.25">
      <c r="A66" t="s">
        <v>26</v>
      </c>
      <c r="B66" t="s">
        <v>15</v>
      </c>
      <c r="C66" t="s">
        <v>7</v>
      </c>
      <c r="D66" s="9">
        <v>1</v>
      </c>
      <c r="E66" t="s">
        <v>4</v>
      </c>
      <c r="F66" t="str">
        <f>$B$1</f>
        <v>OWM Facilities</v>
      </c>
      <c r="G66" t="s">
        <v>16</v>
      </c>
      <c r="H66" s="3"/>
      <c r="I66" t="s">
        <v>30</v>
      </c>
    </row>
    <row r="67" spans="1:9" x14ac:dyDescent="0.25">
      <c r="A67" s="9" t="s">
        <v>31</v>
      </c>
      <c r="B67" t="s">
        <v>32</v>
      </c>
      <c r="C67" t="s">
        <v>33</v>
      </c>
      <c r="D67">
        <v>1.6772116902968379</v>
      </c>
      <c r="E67" t="s">
        <v>4</v>
      </c>
      <c r="F67" s="16" t="s">
        <v>101</v>
      </c>
      <c r="G67" t="s">
        <v>18</v>
      </c>
      <c r="I67" t="s">
        <v>34</v>
      </c>
    </row>
    <row r="68" spans="1:9" x14ac:dyDescent="0.25">
      <c r="A68" t="s">
        <v>108</v>
      </c>
      <c r="B68" t="s">
        <v>109</v>
      </c>
      <c r="C68" t="s">
        <v>44</v>
      </c>
      <c r="D68" s="13">
        <v>2.5320055641349066</v>
      </c>
      <c r="E68" t="s">
        <v>43</v>
      </c>
      <c r="F68" s="16" t="s">
        <v>101</v>
      </c>
      <c r="G68" t="s">
        <v>18</v>
      </c>
      <c r="I68" t="s">
        <v>34</v>
      </c>
    </row>
    <row r="69" spans="1:9" x14ac:dyDescent="0.25">
      <c r="A69" t="s">
        <v>40</v>
      </c>
      <c r="B69" t="s">
        <v>41</v>
      </c>
      <c r="C69" t="s">
        <v>39</v>
      </c>
      <c r="D69" s="10">
        <f>Transportation!B5</f>
        <v>32</v>
      </c>
      <c r="E69" t="s">
        <v>42</v>
      </c>
      <c r="F69" s="16" t="s">
        <v>101</v>
      </c>
      <c r="G69" t="s">
        <v>18</v>
      </c>
      <c r="I69" t="s">
        <v>34</v>
      </c>
    </row>
    <row r="70" spans="1:9" x14ac:dyDescent="0.25">
      <c r="A70" t="s">
        <v>104</v>
      </c>
      <c r="B70" t="s">
        <v>45</v>
      </c>
      <c r="C70" t="s">
        <v>46</v>
      </c>
      <c r="D70">
        <v>-7.28915519494213</v>
      </c>
      <c r="E70" t="s">
        <v>4</v>
      </c>
      <c r="F70" s="16" t="s">
        <v>101</v>
      </c>
      <c r="G70" t="s">
        <v>18</v>
      </c>
      <c r="I70" t="s">
        <v>30</v>
      </c>
    </row>
    <row r="71" spans="1:9" x14ac:dyDescent="0.25">
      <c r="A71" t="s">
        <v>50</v>
      </c>
      <c r="C71" t="s">
        <v>44</v>
      </c>
      <c r="D71">
        <v>5.6135340059469772E-4</v>
      </c>
      <c r="F71" s="16" t="s">
        <v>102</v>
      </c>
      <c r="G71" t="s">
        <v>48</v>
      </c>
      <c r="H71" t="s">
        <v>49</v>
      </c>
      <c r="I71" t="s">
        <v>30</v>
      </c>
    </row>
    <row r="72" spans="1:9" x14ac:dyDescent="0.25">
      <c r="A72" t="s">
        <v>52</v>
      </c>
      <c r="C72" t="s">
        <v>44</v>
      </c>
      <c r="D72">
        <v>0.2245413602378791</v>
      </c>
      <c r="F72" s="16" t="s">
        <v>102</v>
      </c>
      <c r="G72" t="s">
        <v>48</v>
      </c>
      <c r="H72" t="s">
        <v>49</v>
      </c>
      <c r="I72" t="s">
        <v>30</v>
      </c>
    </row>
    <row r="73" spans="1:9" x14ac:dyDescent="0.25">
      <c r="A73" t="s">
        <v>54</v>
      </c>
      <c r="C73" t="s">
        <v>44</v>
      </c>
      <c r="D73" s="10">
        <v>1.6279248617246236</v>
      </c>
      <c r="F73" s="16" t="s">
        <v>102</v>
      </c>
      <c r="G73" t="s">
        <v>48</v>
      </c>
      <c r="H73" t="s">
        <v>49</v>
      </c>
      <c r="I73" t="s">
        <v>30</v>
      </c>
    </row>
    <row r="74" spans="1:9" x14ac:dyDescent="0.25">
      <c r="A74" t="s">
        <v>106</v>
      </c>
      <c r="C74" t="s">
        <v>44</v>
      </c>
      <c r="D74" s="11">
        <v>1.0852832411497491E-3</v>
      </c>
      <c r="F74" s="16" t="s">
        <v>102</v>
      </c>
      <c r="G74" t="s">
        <v>48</v>
      </c>
      <c r="H74" t="s">
        <v>49</v>
      </c>
      <c r="I74" t="s">
        <v>30</v>
      </c>
    </row>
    <row r="75" spans="1:9" x14ac:dyDescent="0.25">
      <c r="A75" t="s">
        <v>97</v>
      </c>
      <c r="B75" t="s">
        <v>77</v>
      </c>
      <c r="C75" t="s">
        <v>44</v>
      </c>
      <c r="D75">
        <v>0.29528799999999999</v>
      </c>
      <c r="E75" t="s">
        <v>80</v>
      </c>
      <c r="F75" s="16" t="s">
        <v>101</v>
      </c>
      <c r="G75" t="s">
        <v>55</v>
      </c>
    </row>
    <row r="76" spans="1:9" x14ac:dyDescent="0.25">
      <c r="A76" t="s">
        <v>98</v>
      </c>
      <c r="B76" t="s">
        <v>78</v>
      </c>
      <c r="C76" t="s">
        <v>44</v>
      </c>
      <c r="D76">
        <v>0.168736</v>
      </c>
      <c r="E76" t="s">
        <v>80</v>
      </c>
      <c r="F76" s="16" t="s">
        <v>101</v>
      </c>
      <c r="G76" t="s">
        <v>55</v>
      </c>
    </row>
    <row r="77" spans="1:9" x14ac:dyDescent="0.25">
      <c r="A77" t="s">
        <v>107</v>
      </c>
      <c r="B77" t="s">
        <v>79</v>
      </c>
      <c r="C77" t="s">
        <v>44</v>
      </c>
      <c r="D77">
        <v>0.253104</v>
      </c>
      <c r="E77" t="s">
        <v>80</v>
      </c>
      <c r="F77" s="16" t="s">
        <v>101</v>
      </c>
      <c r="G77" t="s">
        <v>55</v>
      </c>
    </row>
    <row r="79" spans="1:9" x14ac:dyDescent="0.25">
      <c r="A79" s="1" t="s">
        <v>1</v>
      </c>
      <c r="B79" s="2" t="s">
        <v>27</v>
      </c>
      <c r="C79" s="2"/>
      <c r="D79" s="2"/>
      <c r="E79" s="2"/>
      <c r="F79" s="2"/>
      <c r="G79" s="2"/>
      <c r="H79" s="2"/>
      <c r="I79" s="2"/>
    </row>
    <row r="80" spans="1:9" x14ac:dyDescent="0.25">
      <c r="A80" s="3" t="s">
        <v>2</v>
      </c>
      <c r="B80" t="s">
        <v>82</v>
      </c>
    </row>
    <row r="81" spans="1:9" x14ac:dyDescent="0.25">
      <c r="A81" s="4" t="s">
        <v>3</v>
      </c>
      <c r="B81" s="5" t="s">
        <v>4</v>
      </c>
      <c r="C81" s="5"/>
      <c r="D81" s="5"/>
      <c r="E81" s="5"/>
      <c r="F81" s="5"/>
      <c r="G81" s="5"/>
      <c r="H81" s="5"/>
      <c r="I81" s="5"/>
    </row>
    <row r="82" spans="1:9" x14ac:dyDescent="0.25">
      <c r="A82" s="4" t="s">
        <v>5</v>
      </c>
      <c r="B82" s="6">
        <v>1</v>
      </c>
      <c r="C82" s="5"/>
      <c r="D82" s="5"/>
      <c r="E82" s="5"/>
      <c r="F82" s="5"/>
      <c r="G82" s="5"/>
      <c r="H82" s="5"/>
      <c r="I82" s="5"/>
    </row>
    <row r="83" spans="1:9" x14ac:dyDescent="0.25">
      <c r="A83" s="4" t="s">
        <v>6</v>
      </c>
      <c r="B83" s="7" t="s">
        <v>7</v>
      </c>
      <c r="C83" s="5"/>
      <c r="D83" s="5"/>
      <c r="E83" s="5"/>
      <c r="F83" s="5"/>
      <c r="G83" s="5"/>
      <c r="H83" s="5"/>
      <c r="I83" s="5"/>
    </row>
    <row r="85" spans="1:9" x14ac:dyDescent="0.25">
      <c r="A85" s="3" t="s">
        <v>8</v>
      </c>
    </row>
    <row r="86" spans="1:9" x14ac:dyDescent="0.25">
      <c r="A86" s="3" t="s">
        <v>9</v>
      </c>
      <c r="B86" s="3" t="s">
        <v>10</v>
      </c>
      <c r="C86" s="3" t="s">
        <v>6</v>
      </c>
      <c r="D86" s="8" t="s">
        <v>11</v>
      </c>
      <c r="E86" s="3" t="s">
        <v>3</v>
      </c>
      <c r="F86" s="3" t="s">
        <v>12</v>
      </c>
      <c r="G86" s="3" t="s">
        <v>13</v>
      </c>
      <c r="H86" s="3" t="s">
        <v>14</v>
      </c>
      <c r="I86" s="3" t="s">
        <v>2</v>
      </c>
    </row>
    <row r="87" spans="1:9" x14ac:dyDescent="0.25">
      <c r="A87" t="str">
        <f>B79</f>
        <v>Composter_saint thomas</v>
      </c>
      <c r="B87" t="s">
        <v>15</v>
      </c>
      <c r="C87" t="s">
        <v>7</v>
      </c>
      <c r="D87" s="9">
        <v>1</v>
      </c>
      <c r="E87" t="s">
        <v>4</v>
      </c>
      <c r="F87" t="str">
        <f>$B$1</f>
        <v>OWM Facilities</v>
      </c>
      <c r="G87" t="s">
        <v>16</v>
      </c>
      <c r="H87" s="3"/>
      <c r="I87" t="s">
        <v>30</v>
      </c>
    </row>
    <row r="88" spans="1:9" x14ac:dyDescent="0.25">
      <c r="A88" s="9" t="s">
        <v>31</v>
      </c>
      <c r="B88" t="s">
        <v>32</v>
      </c>
      <c r="C88" t="s">
        <v>33</v>
      </c>
      <c r="D88">
        <v>1.6772116902968379</v>
      </c>
      <c r="E88" t="s">
        <v>4</v>
      </c>
      <c r="F88" s="16" t="s">
        <v>101</v>
      </c>
      <c r="G88" t="s">
        <v>18</v>
      </c>
      <c r="I88" t="s">
        <v>34</v>
      </c>
    </row>
    <row r="89" spans="1:9" x14ac:dyDescent="0.25">
      <c r="A89" t="s">
        <v>108</v>
      </c>
      <c r="B89" t="s">
        <v>109</v>
      </c>
      <c r="C89" t="s">
        <v>44</v>
      </c>
      <c r="D89" s="13">
        <v>2.5320055641349066</v>
      </c>
      <c r="E89" t="s">
        <v>43</v>
      </c>
      <c r="F89" s="16" t="s">
        <v>101</v>
      </c>
      <c r="G89" t="s">
        <v>18</v>
      </c>
      <c r="I89" t="s">
        <v>34</v>
      </c>
    </row>
    <row r="90" spans="1:9" x14ac:dyDescent="0.25">
      <c r="A90" t="s">
        <v>40</v>
      </c>
      <c r="B90" t="s">
        <v>41</v>
      </c>
      <c r="C90" t="s">
        <v>39</v>
      </c>
      <c r="D90" s="10">
        <f>Transportation!B6</f>
        <v>74</v>
      </c>
      <c r="E90" t="s">
        <v>42</v>
      </c>
      <c r="F90" s="16" t="s">
        <v>101</v>
      </c>
      <c r="G90" t="s">
        <v>18</v>
      </c>
      <c r="I90" t="s">
        <v>34</v>
      </c>
    </row>
    <row r="91" spans="1:9" x14ac:dyDescent="0.25">
      <c r="A91" t="s">
        <v>104</v>
      </c>
      <c r="B91" t="s">
        <v>45</v>
      </c>
      <c r="C91" t="s">
        <v>46</v>
      </c>
      <c r="D91">
        <v>-7.28915519494213</v>
      </c>
      <c r="E91" t="s">
        <v>4</v>
      </c>
      <c r="F91" s="16" t="s">
        <v>101</v>
      </c>
      <c r="G91" t="s">
        <v>18</v>
      </c>
      <c r="I91" t="s">
        <v>30</v>
      </c>
    </row>
    <row r="92" spans="1:9" x14ac:dyDescent="0.25">
      <c r="A92" t="s">
        <v>50</v>
      </c>
      <c r="C92" t="s">
        <v>44</v>
      </c>
      <c r="D92">
        <v>5.6135340059469772E-4</v>
      </c>
      <c r="F92" s="16" t="s">
        <v>102</v>
      </c>
      <c r="G92" t="s">
        <v>48</v>
      </c>
      <c r="H92" t="s">
        <v>49</v>
      </c>
      <c r="I92" t="s">
        <v>30</v>
      </c>
    </row>
    <row r="93" spans="1:9" x14ac:dyDescent="0.25">
      <c r="A93" t="s">
        <v>52</v>
      </c>
      <c r="C93" t="s">
        <v>44</v>
      </c>
      <c r="D93">
        <v>0.2245413602378791</v>
      </c>
      <c r="F93" s="16" t="s">
        <v>102</v>
      </c>
      <c r="G93" t="s">
        <v>48</v>
      </c>
      <c r="H93" t="s">
        <v>49</v>
      </c>
      <c r="I93" t="s">
        <v>30</v>
      </c>
    </row>
    <row r="94" spans="1:9" x14ac:dyDescent="0.25">
      <c r="A94" t="s">
        <v>54</v>
      </c>
      <c r="C94" t="s">
        <v>44</v>
      </c>
      <c r="D94" s="10">
        <v>1.6279248617246236</v>
      </c>
      <c r="F94" s="16" t="s">
        <v>102</v>
      </c>
      <c r="G94" t="s">
        <v>48</v>
      </c>
      <c r="H94" t="s">
        <v>49</v>
      </c>
      <c r="I94" t="s">
        <v>30</v>
      </c>
    </row>
    <row r="95" spans="1:9" x14ac:dyDescent="0.25">
      <c r="A95" t="s">
        <v>106</v>
      </c>
      <c r="C95" t="s">
        <v>44</v>
      </c>
      <c r="D95" s="11">
        <v>1.0852832411497491E-3</v>
      </c>
      <c r="F95" s="16" t="s">
        <v>102</v>
      </c>
      <c r="G95" t="s">
        <v>48</v>
      </c>
      <c r="H95" t="s">
        <v>49</v>
      </c>
      <c r="I95" t="s">
        <v>30</v>
      </c>
    </row>
    <row r="96" spans="1:9" x14ac:dyDescent="0.25">
      <c r="A96" t="s">
        <v>97</v>
      </c>
      <c r="B96" t="s">
        <v>77</v>
      </c>
      <c r="C96" t="s">
        <v>44</v>
      </c>
      <c r="D96">
        <v>0.29528799999999999</v>
      </c>
      <c r="E96" t="s">
        <v>80</v>
      </c>
      <c r="F96" s="16" t="s">
        <v>101</v>
      </c>
      <c r="G96" t="s">
        <v>55</v>
      </c>
    </row>
    <row r="97" spans="1:9" x14ac:dyDescent="0.25">
      <c r="A97" t="s">
        <v>98</v>
      </c>
      <c r="B97" t="s">
        <v>78</v>
      </c>
      <c r="C97" t="s">
        <v>44</v>
      </c>
      <c r="D97">
        <v>0.168736</v>
      </c>
      <c r="E97" t="s">
        <v>80</v>
      </c>
      <c r="F97" s="16" t="s">
        <v>101</v>
      </c>
      <c r="G97" t="s">
        <v>55</v>
      </c>
    </row>
    <row r="98" spans="1:9" x14ac:dyDescent="0.25">
      <c r="A98" t="s">
        <v>107</v>
      </c>
      <c r="B98" t="s">
        <v>79</v>
      </c>
      <c r="C98" t="s">
        <v>44</v>
      </c>
      <c r="D98">
        <v>0.253104</v>
      </c>
      <c r="E98" t="s">
        <v>80</v>
      </c>
      <c r="F98" s="16" t="s">
        <v>101</v>
      </c>
      <c r="G98" t="s">
        <v>55</v>
      </c>
    </row>
    <row r="99" spans="1:9" x14ac:dyDescent="0.25">
      <c r="D99" s="10"/>
    </row>
    <row r="103" spans="1:9" x14ac:dyDescent="0.25">
      <c r="A103" s="1" t="s">
        <v>1</v>
      </c>
      <c r="B103" s="2" t="s">
        <v>122</v>
      </c>
      <c r="C103" s="2"/>
      <c r="D103" s="2"/>
      <c r="E103" s="2"/>
      <c r="F103" s="2"/>
      <c r="G103" s="2"/>
      <c r="H103" s="2"/>
      <c r="I103" s="2"/>
    </row>
    <row r="104" spans="1:9" x14ac:dyDescent="0.25">
      <c r="A104" t="s">
        <v>2</v>
      </c>
      <c r="B104" t="s">
        <v>123</v>
      </c>
    </row>
    <row r="105" spans="1:9" x14ac:dyDescent="0.25">
      <c r="A105" t="s">
        <v>3</v>
      </c>
      <c r="B105" t="s">
        <v>4</v>
      </c>
    </row>
    <row r="106" spans="1:9" x14ac:dyDescent="0.25">
      <c r="A106" t="s">
        <v>5</v>
      </c>
      <c r="B106">
        <v>1</v>
      </c>
    </row>
    <row r="107" spans="1:9" x14ac:dyDescent="0.25">
      <c r="A107" t="s">
        <v>6</v>
      </c>
      <c r="B107" t="s">
        <v>7</v>
      </c>
    </row>
    <row r="109" spans="1:9" x14ac:dyDescent="0.25">
      <c r="A109" s="3" t="s">
        <v>8</v>
      </c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 t="s">
        <v>9</v>
      </c>
      <c r="B110" s="3" t="s">
        <v>10</v>
      </c>
      <c r="C110" s="3" t="s">
        <v>6</v>
      </c>
      <c r="D110" s="3" t="s">
        <v>11</v>
      </c>
      <c r="E110" s="3" t="s">
        <v>3</v>
      </c>
      <c r="F110" s="3" t="s">
        <v>12</v>
      </c>
      <c r="G110" s="3" t="s">
        <v>13</v>
      </c>
      <c r="H110" s="3" t="s">
        <v>14</v>
      </c>
      <c r="I110" s="3" t="s">
        <v>2</v>
      </c>
    </row>
    <row r="111" spans="1:9" x14ac:dyDescent="0.25">
      <c r="A111" t="str">
        <f>B103</f>
        <v xml:space="preserve">AD_city </v>
      </c>
      <c r="B111" t="s">
        <v>15</v>
      </c>
      <c r="C111" t="s">
        <v>7</v>
      </c>
      <c r="D111">
        <v>1</v>
      </c>
      <c r="E111" t="s">
        <v>4</v>
      </c>
      <c r="F111" t="s">
        <v>103</v>
      </c>
      <c r="G111" t="s">
        <v>16</v>
      </c>
    </row>
    <row r="112" spans="1:9" x14ac:dyDescent="0.25">
      <c r="A112" t="s">
        <v>31</v>
      </c>
      <c r="B112" t="s">
        <v>32</v>
      </c>
      <c r="C112" t="s">
        <v>33</v>
      </c>
      <c r="D112">
        <v>2.1350000000000002</v>
      </c>
      <c r="E112" t="s">
        <v>4</v>
      </c>
      <c r="F112" t="s">
        <v>101</v>
      </c>
      <c r="G112" t="s">
        <v>18</v>
      </c>
    </row>
    <row r="113" spans="1:9" x14ac:dyDescent="0.25">
      <c r="A113" t="s">
        <v>57</v>
      </c>
      <c r="B113" t="s">
        <v>58</v>
      </c>
      <c r="C113" t="s">
        <v>59</v>
      </c>
      <c r="D113">
        <v>241.60000000000002</v>
      </c>
      <c r="E113" t="s">
        <v>43</v>
      </c>
      <c r="F113" t="s">
        <v>101</v>
      </c>
      <c r="G113" t="s">
        <v>18</v>
      </c>
    </row>
    <row r="114" spans="1:9" x14ac:dyDescent="0.25">
      <c r="A114" t="s">
        <v>35</v>
      </c>
      <c r="B114" t="s">
        <v>36</v>
      </c>
      <c r="C114" t="s">
        <v>37</v>
      </c>
      <c r="D114">
        <v>0.352112676056338</v>
      </c>
      <c r="E114" t="s">
        <v>38</v>
      </c>
      <c r="F114" t="s">
        <v>101</v>
      </c>
      <c r="G114" t="s">
        <v>18</v>
      </c>
    </row>
    <row r="115" spans="1:9" x14ac:dyDescent="0.25">
      <c r="A115" t="s">
        <v>60</v>
      </c>
      <c r="B115" t="s">
        <v>61</v>
      </c>
      <c r="C115" t="s">
        <v>44</v>
      </c>
      <c r="D115">
        <v>225</v>
      </c>
      <c r="E115" t="s">
        <v>56</v>
      </c>
      <c r="F115" t="s">
        <v>101</v>
      </c>
      <c r="G115" t="s">
        <v>18</v>
      </c>
    </row>
    <row r="116" spans="1:9" x14ac:dyDescent="0.25">
      <c r="A116" t="s">
        <v>40</v>
      </c>
      <c r="B116" t="s">
        <v>41</v>
      </c>
      <c r="C116" t="s">
        <v>39</v>
      </c>
      <c r="D116">
        <v>0</v>
      </c>
      <c r="E116" t="s">
        <v>42</v>
      </c>
      <c r="F116" t="s">
        <v>101</v>
      </c>
      <c r="G116" t="s">
        <v>18</v>
      </c>
    </row>
    <row r="117" spans="1:9" x14ac:dyDescent="0.25">
      <c r="A117" t="s">
        <v>50</v>
      </c>
      <c r="C117" t="s">
        <v>44</v>
      </c>
      <c r="D117">
        <v>0.14559999999999998</v>
      </c>
      <c r="F117" t="s">
        <v>102</v>
      </c>
      <c r="G117" t="s">
        <v>48</v>
      </c>
      <c r="H117" t="s">
        <v>49</v>
      </c>
    </row>
    <row r="118" spans="1:9" x14ac:dyDescent="0.25">
      <c r="A118" t="s">
        <v>51</v>
      </c>
      <c r="C118" t="s">
        <v>44</v>
      </c>
      <c r="D118">
        <v>0</v>
      </c>
      <c r="F118" t="s">
        <v>102</v>
      </c>
      <c r="G118" t="s">
        <v>48</v>
      </c>
      <c r="H118" t="s">
        <v>49</v>
      </c>
    </row>
    <row r="119" spans="1:9" x14ac:dyDescent="0.25">
      <c r="A119" t="s">
        <v>52</v>
      </c>
      <c r="C119" t="s">
        <v>44</v>
      </c>
      <c r="D119">
        <f>0.1/60000*1000</f>
        <v>1.6666666666666666E-3</v>
      </c>
      <c r="F119" t="s">
        <v>102</v>
      </c>
      <c r="G119" t="s">
        <v>48</v>
      </c>
      <c r="H119" t="s">
        <v>49</v>
      </c>
    </row>
    <row r="120" spans="1:9" x14ac:dyDescent="0.25">
      <c r="A120" t="s">
        <v>53</v>
      </c>
      <c r="C120" t="s">
        <v>44</v>
      </c>
      <c r="D120">
        <v>8.9599999999999999E-2</v>
      </c>
      <c r="F120" t="s">
        <v>102</v>
      </c>
      <c r="G120" t="s">
        <v>48</v>
      </c>
      <c r="H120" t="s">
        <v>49</v>
      </c>
    </row>
    <row r="121" spans="1:9" x14ac:dyDescent="0.25">
      <c r="A121" t="s">
        <v>54</v>
      </c>
      <c r="C121" t="s">
        <v>44</v>
      </c>
      <c r="D121">
        <f>D119</f>
        <v>1.6666666666666666E-3</v>
      </c>
      <c r="F121" t="s">
        <v>102</v>
      </c>
      <c r="G121" t="s">
        <v>48</v>
      </c>
      <c r="H121" t="s">
        <v>49</v>
      </c>
    </row>
    <row r="122" spans="1:9" x14ac:dyDescent="0.25">
      <c r="A122" t="s">
        <v>106</v>
      </c>
      <c r="C122" t="s">
        <v>44</v>
      </c>
      <c r="D122">
        <v>0.42599999999999999</v>
      </c>
      <c r="F122" t="s">
        <v>102</v>
      </c>
      <c r="G122" t="s">
        <v>48</v>
      </c>
      <c r="H122" t="s">
        <v>49</v>
      </c>
    </row>
    <row r="123" spans="1:9" x14ac:dyDescent="0.25">
      <c r="A123" t="s">
        <v>62</v>
      </c>
      <c r="C123" t="s">
        <v>44</v>
      </c>
      <c r="D123">
        <v>2.97E-3</v>
      </c>
      <c r="F123" t="s">
        <v>102</v>
      </c>
      <c r="G123" t="s">
        <v>48</v>
      </c>
      <c r="H123" t="s">
        <v>49</v>
      </c>
    </row>
    <row r="124" spans="1:9" x14ac:dyDescent="0.25">
      <c r="A124" t="s">
        <v>63</v>
      </c>
      <c r="C124" t="s">
        <v>44</v>
      </c>
      <c r="D124">
        <v>9.2799999999999992E-5</v>
      </c>
      <c r="F124" t="s">
        <v>102</v>
      </c>
      <c r="G124" t="s">
        <v>48</v>
      </c>
      <c r="H124" t="s">
        <v>47</v>
      </c>
    </row>
    <row r="125" spans="1:9" x14ac:dyDescent="0.25">
      <c r="A125" t="s">
        <v>64</v>
      </c>
      <c r="C125" t="s">
        <v>44</v>
      </c>
      <c r="D125">
        <v>1.0899999999999999E-4</v>
      </c>
      <c r="F125" t="s">
        <v>102</v>
      </c>
      <c r="G125" t="s">
        <v>48</v>
      </c>
      <c r="H125" t="s">
        <v>47</v>
      </c>
    </row>
    <row r="126" spans="1:9" x14ac:dyDescent="0.25">
      <c r="A126" t="s">
        <v>65</v>
      </c>
      <c r="C126" t="s">
        <v>44</v>
      </c>
      <c r="D126">
        <v>7.039999999999999E-5</v>
      </c>
      <c r="F126" t="s">
        <v>102</v>
      </c>
      <c r="G126" t="s">
        <v>48</v>
      </c>
      <c r="H126" t="s">
        <v>49</v>
      </c>
    </row>
    <row r="127" spans="1:9" x14ac:dyDescent="0.25">
      <c r="A127" t="s">
        <v>104</v>
      </c>
      <c r="B127" t="s">
        <v>45</v>
      </c>
      <c r="C127" t="s">
        <v>46</v>
      </c>
      <c r="D127">
        <v>-0.22500000000000001</v>
      </c>
      <c r="E127" t="s">
        <v>4</v>
      </c>
      <c r="F127" t="s">
        <v>101</v>
      </c>
      <c r="G127" t="s">
        <v>18</v>
      </c>
      <c r="I127" t="s">
        <v>30</v>
      </c>
    </row>
    <row r="128" spans="1:9" x14ac:dyDescent="0.25">
      <c r="A128" t="s">
        <v>100</v>
      </c>
      <c r="B128" t="s">
        <v>99</v>
      </c>
      <c r="C128" t="s">
        <v>46</v>
      </c>
      <c r="D128">
        <v>20.905141753653442</v>
      </c>
      <c r="E128" t="s">
        <v>105</v>
      </c>
      <c r="F128" t="s">
        <v>101</v>
      </c>
      <c r="G128" t="s">
        <v>55</v>
      </c>
    </row>
    <row r="129" spans="1:9" x14ac:dyDescent="0.25">
      <c r="A129" t="s">
        <v>97</v>
      </c>
      <c r="B129" t="s">
        <v>77</v>
      </c>
      <c r="C129" t="s">
        <v>44</v>
      </c>
      <c r="D129">
        <f>'Fertilizer credit for compost'!A31</f>
        <v>3.1701499999999991</v>
      </c>
      <c r="E129" t="s">
        <v>80</v>
      </c>
      <c r="F129" s="16" t="s">
        <v>101</v>
      </c>
      <c r="G129" t="s">
        <v>55</v>
      </c>
      <c r="I129" t="s">
        <v>116</v>
      </c>
    </row>
    <row r="130" spans="1:9" x14ac:dyDescent="0.25">
      <c r="A130" t="s">
        <v>98</v>
      </c>
      <c r="B130" t="s">
        <v>78</v>
      </c>
      <c r="C130" t="s">
        <v>44</v>
      </c>
      <c r="D130">
        <f>'Fertilizer credit for compost'!A32</f>
        <v>3.348749999999999</v>
      </c>
      <c r="E130" t="s">
        <v>80</v>
      </c>
      <c r="F130" s="16" t="s">
        <v>101</v>
      </c>
      <c r="G130" t="s">
        <v>55</v>
      </c>
    </row>
    <row r="131" spans="1:9" x14ac:dyDescent="0.25">
      <c r="A131" t="s">
        <v>107</v>
      </c>
      <c r="B131" t="s">
        <v>79</v>
      </c>
      <c r="C131" t="s">
        <v>44</v>
      </c>
      <c r="D131">
        <f>'Fertilizer credit for compost'!A33</f>
        <v>0.2902249999999999</v>
      </c>
      <c r="E131" t="s">
        <v>80</v>
      </c>
      <c r="F131" s="16" t="s">
        <v>101</v>
      </c>
      <c r="G131" t="s">
        <v>55</v>
      </c>
    </row>
    <row r="135" spans="1:9" x14ac:dyDescent="0.25">
      <c r="A135" s="1" t="s">
        <v>1</v>
      </c>
      <c r="B135" s="2" t="s">
        <v>127</v>
      </c>
      <c r="C135" s="2"/>
      <c r="D135" s="2"/>
      <c r="E135" s="2"/>
      <c r="F135" s="2"/>
      <c r="G135" s="2"/>
      <c r="H135" s="2"/>
      <c r="I135" s="2"/>
    </row>
    <row r="136" spans="1:9" x14ac:dyDescent="0.25">
      <c r="A136" t="s">
        <v>2</v>
      </c>
      <c r="B136" t="s">
        <v>133</v>
      </c>
    </row>
    <row r="137" spans="1:9" x14ac:dyDescent="0.25">
      <c r="A137" t="s">
        <v>3</v>
      </c>
      <c r="B137" t="s">
        <v>4</v>
      </c>
    </row>
    <row r="138" spans="1:9" x14ac:dyDescent="0.25">
      <c r="A138" t="s">
        <v>5</v>
      </c>
      <c r="B138">
        <v>1</v>
      </c>
    </row>
    <row r="139" spans="1:9" x14ac:dyDescent="0.25">
      <c r="A139" t="s">
        <v>6</v>
      </c>
      <c r="B139" t="s">
        <v>7</v>
      </c>
    </row>
    <row r="141" spans="1:9" x14ac:dyDescent="0.25">
      <c r="A141" s="3" t="s">
        <v>8</v>
      </c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 t="s">
        <v>9</v>
      </c>
      <c r="B142" s="3" t="s">
        <v>10</v>
      </c>
      <c r="C142" s="3" t="s">
        <v>6</v>
      </c>
      <c r="D142" s="3" t="s">
        <v>11</v>
      </c>
      <c r="E142" s="3" t="s">
        <v>3</v>
      </c>
      <c r="F142" s="3" t="s">
        <v>12</v>
      </c>
      <c r="G142" s="3" t="s">
        <v>13</v>
      </c>
      <c r="H142" s="3" t="s">
        <v>14</v>
      </c>
      <c r="I142" s="3" t="s">
        <v>2</v>
      </c>
    </row>
    <row r="143" spans="1:9" x14ac:dyDescent="0.25">
      <c r="A143" t="str">
        <f>B135</f>
        <v>Landfill_saint sophie_HOC</v>
      </c>
      <c r="B143" t="s">
        <v>15</v>
      </c>
      <c r="C143" t="s">
        <v>7</v>
      </c>
      <c r="D143">
        <v>1</v>
      </c>
      <c r="E143" t="s">
        <v>4</v>
      </c>
      <c r="F143" t="s">
        <v>103</v>
      </c>
      <c r="G143" t="s">
        <v>16</v>
      </c>
    </row>
    <row r="144" spans="1:9" x14ac:dyDescent="0.25">
      <c r="A144" t="s">
        <v>40</v>
      </c>
      <c r="B144" t="s">
        <v>41</v>
      </c>
      <c r="C144" t="s">
        <v>39</v>
      </c>
      <c r="D144">
        <f>Transportation!B4</f>
        <v>45</v>
      </c>
      <c r="E144" t="s">
        <v>42</v>
      </c>
      <c r="F144" t="s">
        <v>101</v>
      </c>
      <c r="G144" t="s">
        <v>18</v>
      </c>
    </row>
    <row r="145" spans="1:9" x14ac:dyDescent="0.25">
      <c r="A145" t="s">
        <v>108</v>
      </c>
      <c r="B145" t="s">
        <v>109</v>
      </c>
      <c r="C145" t="s">
        <v>44</v>
      </c>
      <c r="D145">
        <v>1.2233948675764872</v>
      </c>
      <c r="E145" t="s">
        <v>43</v>
      </c>
      <c r="F145" t="s">
        <v>101</v>
      </c>
      <c r="G145" t="s">
        <v>18</v>
      </c>
      <c r="I145" t="s">
        <v>34</v>
      </c>
    </row>
    <row r="146" spans="1:9" x14ac:dyDescent="0.25">
      <c r="A146" t="s">
        <v>54</v>
      </c>
      <c r="C146" t="s">
        <v>44</v>
      </c>
      <c r="D146">
        <v>4.1479948210718032</v>
      </c>
      <c r="F146" t="s">
        <v>102</v>
      </c>
      <c r="G146" t="s">
        <v>48</v>
      </c>
      <c r="H146" t="s">
        <v>49</v>
      </c>
    </row>
    <row r="147" spans="1:9" x14ac:dyDescent="0.25">
      <c r="A147" t="s">
        <v>100</v>
      </c>
      <c r="B147" t="s">
        <v>99</v>
      </c>
      <c r="C147" t="s">
        <v>46</v>
      </c>
      <c r="D147">
        <v>194.60358638579837</v>
      </c>
      <c r="E147" t="s">
        <v>105</v>
      </c>
      <c r="F147" t="s">
        <v>101</v>
      </c>
      <c r="G147" t="s">
        <v>55</v>
      </c>
    </row>
    <row r="148" spans="1:9" x14ac:dyDescent="0.25">
      <c r="A148" t="s">
        <v>52</v>
      </c>
      <c r="C148" t="s">
        <v>44</v>
      </c>
      <c r="D148">
        <v>9.23054210587319E-3</v>
      </c>
      <c r="F148" t="s">
        <v>102</v>
      </c>
      <c r="G148" t="s">
        <v>48</v>
      </c>
      <c r="H148" t="s">
        <v>49</v>
      </c>
      <c r="I148" t="s">
        <v>30</v>
      </c>
    </row>
    <row r="149" spans="1:9" x14ac:dyDescent="0.25">
      <c r="A149" t="s">
        <v>31</v>
      </c>
      <c r="B149" t="s">
        <v>32</v>
      </c>
      <c r="C149" t="s">
        <v>33</v>
      </c>
      <c r="D149">
        <v>64.423795878188926</v>
      </c>
      <c r="E149" t="s">
        <v>4</v>
      </c>
      <c r="F149" t="s">
        <v>101</v>
      </c>
      <c r="G149" t="s">
        <v>18</v>
      </c>
    </row>
    <row r="150" spans="1:9" x14ac:dyDescent="0.25">
      <c r="A150" t="s">
        <v>51</v>
      </c>
      <c r="C150" t="s">
        <v>44</v>
      </c>
      <c r="D150">
        <v>38.489348387191299</v>
      </c>
      <c r="F150" t="s">
        <v>102</v>
      </c>
      <c r="G150" t="s">
        <v>48</v>
      </c>
      <c r="H150" t="s">
        <v>49</v>
      </c>
      <c r="I150" t="s">
        <v>30</v>
      </c>
    </row>
    <row r="151" spans="1:9" x14ac:dyDescent="0.25">
      <c r="A151" t="s">
        <v>104</v>
      </c>
      <c r="B151" t="s">
        <v>45</v>
      </c>
      <c r="C151" t="s">
        <v>46</v>
      </c>
      <c r="D151">
        <v>-2.2979659065951594</v>
      </c>
      <c r="E151" t="s">
        <v>4</v>
      </c>
      <c r="F151" t="s">
        <v>101</v>
      </c>
      <c r="G151" t="s">
        <v>18</v>
      </c>
    </row>
    <row r="153" spans="1:9" x14ac:dyDescent="0.25">
      <c r="A153" s="1" t="s">
        <v>1</v>
      </c>
      <c r="B153" s="2" t="s">
        <v>128</v>
      </c>
      <c r="C153" s="2"/>
      <c r="D153" s="2"/>
      <c r="E153" s="2"/>
      <c r="F153" s="2"/>
      <c r="G153" s="2"/>
      <c r="H153" s="2"/>
      <c r="I153" s="2"/>
    </row>
    <row r="154" spans="1:9" x14ac:dyDescent="0.25">
      <c r="A154" t="s">
        <v>2</v>
      </c>
      <c r="B154" t="s">
        <v>133</v>
      </c>
    </row>
    <row r="155" spans="1:9" x14ac:dyDescent="0.25">
      <c r="A155" t="s">
        <v>3</v>
      </c>
      <c r="B155" t="s">
        <v>4</v>
      </c>
    </row>
    <row r="156" spans="1:9" x14ac:dyDescent="0.25">
      <c r="A156" t="s">
        <v>5</v>
      </c>
      <c r="B156">
        <v>1</v>
      </c>
    </row>
    <row r="157" spans="1:9" x14ac:dyDescent="0.25">
      <c r="A157" t="s">
        <v>6</v>
      </c>
      <c r="B157" t="s">
        <v>7</v>
      </c>
    </row>
    <row r="159" spans="1:9" x14ac:dyDescent="0.25">
      <c r="A159" s="3" t="s">
        <v>8</v>
      </c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 t="s">
        <v>9</v>
      </c>
      <c r="B160" s="3" t="s">
        <v>10</v>
      </c>
      <c r="C160" s="3" t="s">
        <v>6</v>
      </c>
      <c r="D160" s="3" t="s">
        <v>11</v>
      </c>
      <c r="E160" s="3" t="s">
        <v>3</v>
      </c>
      <c r="F160" s="3" t="s">
        <v>12</v>
      </c>
      <c r="G160" s="3" t="s">
        <v>13</v>
      </c>
      <c r="H160" s="3" t="s">
        <v>14</v>
      </c>
      <c r="I160" s="3" t="s">
        <v>2</v>
      </c>
    </row>
    <row r="161" spans="1:9" x14ac:dyDescent="0.25">
      <c r="A161" t="str">
        <f>B153</f>
        <v>Landfill_terrebonne_HOC</v>
      </c>
      <c r="B161" t="s">
        <v>15</v>
      </c>
      <c r="C161" t="s">
        <v>7</v>
      </c>
      <c r="D161">
        <v>1</v>
      </c>
      <c r="E161" t="s">
        <v>4</v>
      </c>
      <c r="F161" t="s">
        <v>103</v>
      </c>
      <c r="G161" t="s">
        <v>16</v>
      </c>
    </row>
    <row r="162" spans="1:9" x14ac:dyDescent="0.25">
      <c r="A162" t="s">
        <v>40</v>
      </c>
      <c r="B162" t="s">
        <v>41</v>
      </c>
      <c r="C162" t="s">
        <v>39</v>
      </c>
      <c r="D162">
        <f>Transportation!B5</f>
        <v>32</v>
      </c>
      <c r="E162" t="s">
        <v>42</v>
      </c>
      <c r="F162" t="s">
        <v>101</v>
      </c>
      <c r="G162" t="s">
        <v>18</v>
      </c>
    </row>
    <row r="163" spans="1:9" x14ac:dyDescent="0.25">
      <c r="A163" t="s">
        <v>108</v>
      </c>
      <c r="B163" t="s">
        <v>109</v>
      </c>
      <c r="C163" t="s">
        <v>44</v>
      </c>
      <c r="D163">
        <v>1.2233948675764872</v>
      </c>
      <c r="E163" t="s">
        <v>43</v>
      </c>
      <c r="F163" t="s">
        <v>101</v>
      </c>
      <c r="G163" t="s">
        <v>18</v>
      </c>
      <c r="I163" t="s">
        <v>34</v>
      </c>
    </row>
    <row r="164" spans="1:9" x14ac:dyDescent="0.25">
      <c r="A164" t="s">
        <v>54</v>
      </c>
      <c r="C164" t="s">
        <v>44</v>
      </c>
      <c r="D164">
        <v>4.1479948210718032</v>
      </c>
      <c r="F164" t="s">
        <v>102</v>
      </c>
      <c r="G164" t="s">
        <v>48</v>
      </c>
      <c r="H164" t="s">
        <v>49</v>
      </c>
    </row>
    <row r="165" spans="1:9" x14ac:dyDescent="0.25">
      <c r="A165" t="s">
        <v>100</v>
      </c>
      <c r="B165" t="s">
        <v>99</v>
      </c>
      <c r="C165" t="s">
        <v>46</v>
      </c>
      <c r="D165">
        <v>194.60358638579837</v>
      </c>
      <c r="E165" t="s">
        <v>105</v>
      </c>
      <c r="F165" t="s">
        <v>101</v>
      </c>
      <c r="G165" t="s">
        <v>55</v>
      </c>
    </row>
    <row r="166" spans="1:9" x14ac:dyDescent="0.25">
      <c r="A166" t="s">
        <v>52</v>
      </c>
      <c r="C166" t="s">
        <v>44</v>
      </c>
      <c r="D166">
        <v>9.23054210587319E-3</v>
      </c>
      <c r="F166" t="s">
        <v>102</v>
      </c>
      <c r="G166" t="s">
        <v>48</v>
      </c>
      <c r="H166" t="s">
        <v>49</v>
      </c>
      <c r="I166" t="s">
        <v>30</v>
      </c>
    </row>
    <row r="167" spans="1:9" x14ac:dyDescent="0.25">
      <c r="A167" t="s">
        <v>31</v>
      </c>
      <c r="B167" t="s">
        <v>32</v>
      </c>
      <c r="C167" t="s">
        <v>33</v>
      </c>
      <c r="D167">
        <v>64.423795878188926</v>
      </c>
      <c r="E167" t="s">
        <v>4</v>
      </c>
      <c r="F167" t="s">
        <v>101</v>
      </c>
      <c r="G167" t="s">
        <v>18</v>
      </c>
    </row>
    <row r="168" spans="1:9" x14ac:dyDescent="0.25">
      <c r="A168" t="s">
        <v>51</v>
      </c>
      <c r="C168" t="s">
        <v>44</v>
      </c>
      <c r="D168">
        <v>38.489348387191299</v>
      </c>
      <c r="F168" t="s">
        <v>102</v>
      </c>
      <c r="G168" t="s">
        <v>48</v>
      </c>
      <c r="H168" t="s">
        <v>49</v>
      </c>
      <c r="I168" t="s">
        <v>30</v>
      </c>
    </row>
    <row r="169" spans="1:9" x14ac:dyDescent="0.25">
      <c r="A169" t="s">
        <v>104</v>
      </c>
      <c r="B169" t="s">
        <v>45</v>
      </c>
      <c r="C169" t="s">
        <v>46</v>
      </c>
      <c r="D169">
        <v>-2.2979659065951594</v>
      </c>
      <c r="E169" t="s">
        <v>4</v>
      </c>
      <c r="F169" t="s">
        <v>101</v>
      </c>
      <c r="G169" t="s">
        <v>18</v>
      </c>
    </row>
    <row r="171" spans="1:9" x14ac:dyDescent="0.25">
      <c r="A171" s="1" t="s">
        <v>1</v>
      </c>
      <c r="B171" s="2" t="s">
        <v>129</v>
      </c>
      <c r="C171" s="2"/>
      <c r="D171" s="2"/>
      <c r="E171" s="2"/>
      <c r="F171" s="2"/>
      <c r="G171" s="2"/>
      <c r="H171" s="2"/>
      <c r="I171" s="2"/>
    </row>
    <row r="172" spans="1:9" x14ac:dyDescent="0.25">
      <c r="A172" t="s">
        <v>2</v>
      </c>
      <c r="B172" t="s">
        <v>133</v>
      </c>
    </row>
    <row r="173" spans="1:9" x14ac:dyDescent="0.25">
      <c r="A173" t="s">
        <v>3</v>
      </c>
      <c r="B173" t="s">
        <v>4</v>
      </c>
    </row>
    <row r="174" spans="1:9" x14ac:dyDescent="0.25">
      <c r="A174" t="s">
        <v>5</v>
      </c>
      <c r="B174">
        <v>1</v>
      </c>
    </row>
    <row r="175" spans="1:9" x14ac:dyDescent="0.25">
      <c r="A175" t="s">
        <v>6</v>
      </c>
      <c r="B175" t="s">
        <v>7</v>
      </c>
    </row>
    <row r="177" spans="1:9" x14ac:dyDescent="0.25">
      <c r="A177" s="3" t="s">
        <v>8</v>
      </c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 t="s">
        <v>9</v>
      </c>
      <c r="B178" s="3" t="s">
        <v>10</v>
      </c>
      <c r="C178" s="3" t="s">
        <v>6</v>
      </c>
      <c r="D178" s="3" t="s">
        <v>11</v>
      </c>
      <c r="E178" s="3" t="s">
        <v>3</v>
      </c>
      <c r="F178" s="3" t="s">
        <v>12</v>
      </c>
      <c r="G178" s="3" t="s">
        <v>13</v>
      </c>
      <c r="H178" s="3" t="s">
        <v>14</v>
      </c>
      <c r="I178" s="3" t="s">
        <v>2</v>
      </c>
    </row>
    <row r="179" spans="1:9" x14ac:dyDescent="0.25">
      <c r="A179" t="str">
        <f>B171</f>
        <v>Landfill_saint_thomas_HOC</v>
      </c>
      <c r="B179" t="s">
        <v>15</v>
      </c>
      <c r="C179" t="s">
        <v>7</v>
      </c>
      <c r="D179">
        <v>1</v>
      </c>
      <c r="E179" t="s">
        <v>4</v>
      </c>
      <c r="F179" t="s">
        <v>103</v>
      </c>
      <c r="G179" t="s">
        <v>16</v>
      </c>
    </row>
    <row r="180" spans="1:9" x14ac:dyDescent="0.25">
      <c r="A180" t="s">
        <v>40</v>
      </c>
      <c r="B180" t="s">
        <v>41</v>
      </c>
      <c r="C180" t="s">
        <v>39</v>
      </c>
      <c r="D180">
        <f>Transportation!B6</f>
        <v>74</v>
      </c>
      <c r="E180" t="s">
        <v>42</v>
      </c>
      <c r="F180" t="s">
        <v>101</v>
      </c>
      <c r="G180" t="s">
        <v>18</v>
      </c>
    </row>
    <row r="181" spans="1:9" x14ac:dyDescent="0.25">
      <c r="A181" t="s">
        <v>108</v>
      </c>
      <c r="B181" t="s">
        <v>109</v>
      </c>
      <c r="C181" t="s">
        <v>44</v>
      </c>
      <c r="D181">
        <v>1.2233948675764872</v>
      </c>
      <c r="E181" t="s">
        <v>43</v>
      </c>
      <c r="F181" t="s">
        <v>101</v>
      </c>
      <c r="G181" t="s">
        <v>18</v>
      </c>
      <c r="I181" t="s">
        <v>34</v>
      </c>
    </row>
    <row r="182" spans="1:9" x14ac:dyDescent="0.25">
      <c r="A182" t="s">
        <v>54</v>
      </c>
      <c r="C182" t="s">
        <v>44</v>
      </c>
      <c r="D182">
        <v>4.1479948210718032</v>
      </c>
      <c r="F182" t="s">
        <v>102</v>
      </c>
      <c r="G182" t="s">
        <v>48</v>
      </c>
      <c r="H182" t="s">
        <v>49</v>
      </c>
    </row>
    <row r="183" spans="1:9" x14ac:dyDescent="0.25">
      <c r="A183" t="s">
        <v>100</v>
      </c>
      <c r="B183" t="s">
        <v>99</v>
      </c>
      <c r="C183" t="s">
        <v>46</v>
      </c>
      <c r="D183">
        <v>194.60358638579837</v>
      </c>
      <c r="E183" t="s">
        <v>105</v>
      </c>
      <c r="F183" t="s">
        <v>101</v>
      </c>
      <c r="G183" t="s">
        <v>55</v>
      </c>
    </row>
    <row r="184" spans="1:9" x14ac:dyDescent="0.25">
      <c r="A184" t="s">
        <v>52</v>
      </c>
      <c r="C184" t="s">
        <v>44</v>
      </c>
      <c r="D184">
        <v>9.23054210587319E-3</v>
      </c>
      <c r="F184" t="s">
        <v>102</v>
      </c>
      <c r="G184" t="s">
        <v>48</v>
      </c>
      <c r="H184" t="s">
        <v>49</v>
      </c>
      <c r="I184" t="s">
        <v>30</v>
      </c>
    </row>
    <row r="185" spans="1:9" x14ac:dyDescent="0.25">
      <c r="A185" t="s">
        <v>31</v>
      </c>
      <c r="B185" t="s">
        <v>32</v>
      </c>
      <c r="C185" t="s">
        <v>33</v>
      </c>
      <c r="D185">
        <v>64.423795878188926</v>
      </c>
      <c r="E185" t="s">
        <v>4</v>
      </c>
      <c r="F185" t="s">
        <v>101</v>
      </c>
      <c r="G185" t="s">
        <v>18</v>
      </c>
    </row>
    <row r="186" spans="1:9" x14ac:dyDescent="0.25">
      <c r="A186" t="s">
        <v>51</v>
      </c>
      <c r="C186" t="s">
        <v>44</v>
      </c>
      <c r="D186">
        <v>38.489348387191299</v>
      </c>
      <c r="F186" t="s">
        <v>102</v>
      </c>
      <c r="G186" t="s">
        <v>48</v>
      </c>
      <c r="H186" t="s">
        <v>49</v>
      </c>
      <c r="I186" t="s">
        <v>30</v>
      </c>
    </row>
    <row r="187" spans="1:9" x14ac:dyDescent="0.25">
      <c r="A187" t="s">
        <v>104</v>
      </c>
      <c r="B187" t="s">
        <v>45</v>
      </c>
      <c r="C187" t="s">
        <v>46</v>
      </c>
      <c r="D187">
        <v>-2.2979659065951594</v>
      </c>
      <c r="E187" t="s">
        <v>4</v>
      </c>
      <c r="F187" t="s">
        <v>101</v>
      </c>
      <c r="G187" t="s">
        <v>18</v>
      </c>
    </row>
    <row r="189" spans="1:9" x14ac:dyDescent="0.25">
      <c r="A189" s="3"/>
      <c r="B189" s="3"/>
    </row>
    <row r="190" spans="1:9" x14ac:dyDescent="0.25">
      <c r="A190" s="1" t="s">
        <v>1</v>
      </c>
      <c r="B190" s="2" t="s">
        <v>130</v>
      </c>
      <c r="C190" s="2"/>
      <c r="D190" s="2"/>
      <c r="E190" s="2"/>
      <c r="F190" s="2"/>
      <c r="G190" s="2"/>
      <c r="H190" s="2"/>
      <c r="I190" s="2"/>
    </row>
    <row r="191" spans="1:9" x14ac:dyDescent="0.25">
      <c r="A191" t="s">
        <v>2</v>
      </c>
      <c r="B191" t="s">
        <v>133</v>
      </c>
    </row>
    <row r="192" spans="1:9" x14ac:dyDescent="0.25">
      <c r="A192" t="s">
        <v>3</v>
      </c>
      <c r="B192" t="s">
        <v>4</v>
      </c>
    </row>
    <row r="193" spans="1:9" x14ac:dyDescent="0.25">
      <c r="A193" t="s">
        <v>5</v>
      </c>
      <c r="B193">
        <v>1</v>
      </c>
    </row>
    <row r="194" spans="1:9" x14ac:dyDescent="0.25">
      <c r="A194" t="s">
        <v>6</v>
      </c>
      <c r="B194" t="s">
        <v>7</v>
      </c>
    </row>
    <row r="196" spans="1:9" x14ac:dyDescent="0.25">
      <c r="A196" s="3" t="s">
        <v>8</v>
      </c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 t="s">
        <v>9</v>
      </c>
      <c r="B197" s="3" t="s">
        <v>10</v>
      </c>
      <c r="C197" s="3" t="s">
        <v>6</v>
      </c>
      <c r="D197" s="3" t="s">
        <v>11</v>
      </c>
      <c r="E197" s="3" t="s">
        <v>3</v>
      </c>
      <c r="F197" s="3" t="s">
        <v>12</v>
      </c>
      <c r="G197" s="3" t="s">
        <v>13</v>
      </c>
      <c r="H197" s="3" t="s">
        <v>14</v>
      </c>
      <c r="I197" s="3" t="s">
        <v>2</v>
      </c>
    </row>
    <row r="198" spans="1:9" x14ac:dyDescent="0.25">
      <c r="A198" t="str">
        <f>B190</f>
        <v>Landfill_lachute_HOC</v>
      </c>
      <c r="B198" t="s">
        <v>15</v>
      </c>
      <c r="C198" t="s">
        <v>7</v>
      </c>
      <c r="D198">
        <v>1</v>
      </c>
      <c r="E198" t="s">
        <v>4</v>
      </c>
      <c r="F198" t="s">
        <v>103</v>
      </c>
      <c r="G198" t="s">
        <v>16</v>
      </c>
    </row>
    <row r="199" spans="1:9" x14ac:dyDescent="0.25">
      <c r="A199" t="s">
        <v>40</v>
      </c>
      <c r="B199" t="s">
        <v>41</v>
      </c>
      <c r="C199" t="s">
        <v>39</v>
      </c>
      <c r="D199">
        <f>Transportation!B7</f>
        <v>77.400000000000006</v>
      </c>
      <c r="E199" t="s">
        <v>42</v>
      </c>
      <c r="F199" t="s">
        <v>101</v>
      </c>
      <c r="G199" t="s">
        <v>18</v>
      </c>
    </row>
    <row r="200" spans="1:9" x14ac:dyDescent="0.25">
      <c r="A200" t="s">
        <v>108</v>
      </c>
      <c r="B200" t="s">
        <v>109</v>
      </c>
      <c r="C200" t="s">
        <v>44</v>
      </c>
      <c r="D200">
        <v>1.2233948675764872</v>
      </c>
      <c r="E200" t="s">
        <v>43</v>
      </c>
      <c r="F200" t="s">
        <v>101</v>
      </c>
      <c r="G200" t="s">
        <v>18</v>
      </c>
      <c r="I200" t="s">
        <v>34</v>
      </c>
    </row>
    <row r="201" spans="1:9" x14ac:dyDescent="0.25">
      <c r="A201" t="s">
        <v>54</v>
      </c>
      <c r="C201" t="s">
        <v>44</v>
      </c>
      <c r="D201">
        <v>4.1479948210718032</v>
      </c>
      <c r="F201" t="s">
        <v>102</v>
      </c>
      <c r="G201" t="s">
        <v>48</v>
      </c>
      <c r="H201" t="s">
        <v>49</v>
      </c>
    </row>
    <row r="202" spans="1:9" x14ac:dyDescent="0.25">
      <c r="A202" t="s">
        <v>31</v>
      </c>
      <c r="B202" t="s">
        <v>32</v>
      </c>
      <c r="C202" t="s">
        <v>33</v>
      </c>
      <c r="D202">
        <v>80.908165582352993</v>
      </c>
      <c r="E202" t="s">
        <v>4</v>
      </c>
      <c r="F202" t="s">
        <v>101</v>
      </c>
      <c r="G202" t="s">
        <v>55</v>
      </c>
    </row>
    <row r="203" spans="1:9" x14ac:dyDescent="0.25">
      <c r="A203" t="s">
        <v>52</v>
      </c>
      <c r="C203" t="s">
        <v>44</v>
      </c>
      <c r="D203">
        <v>9.23054210587319E-3</v>
      </c>
      <c r="F203" t="s">
        <v>102</v>
      </c>
      <c r="G203" t="s">
        <v>48</v>
      </c>
      <c r="H203" t="s">
        <v>49</v>
      </c>
      <c r="I203" t="s">
        <v>30</v>
      </c>
    </row>
    <row r="204" spans="1:9" x14ac:dyDescent="0.25">
      <c r="A204" t="s">
        <v>31</v>
      </c>
      <c r="B204" t="s">
        <v>32</v>
      </c>
      <c r="C204" t="s">
        <v>33</v>
      </c>
      <c r="D204">
        <v>64.423795878188926</v>
      </c>
      <c r="E204" t="s">
        <v>4</v>
      </c>
      <c r="F204" t="s">
        <v>101</v>
      </c>
      <c r="G204" t="s">
        <v>18</v>
      </c>
    </row>
    <row r="205" spans="1:9" x14ac:dyDescent="0.25">
      <c r="A205" t="s">
        <v>51</v>
      </c>
      <c r="C205" t="s">
        <v>44</v>
      </c>
      <c r="D205">
        <v>38.489348387191299</v>
      </c>
      <c r="F205" t="s">
        <v>102</v>
      </c>
      <c r="G205" t="s">
        <v>48</v>
      </c>
      <c r="H205" t="s">
        <v>49</v>
      </c>
      <c r="I205" t="s">
        <v>30</v>
      </c>
    </row>
    <row r="206" spans="1:9" x14ac:dyDescent="0.25">
      <c r="A206" t="s">
        <v>104</v>
      </c>
      <c r="B206" t="s">
        <v>45</v>
      </c>
      <c r="C206" t="s">
        <v>46</v>
      </c>
      <c r="D206">
        <v>-2.2979659065951594</v>
      </c>
      <c r="E206" t="s">
        <v>4</v>
      </c>
      <c r="F206" t="s">
        <v>101</v>
      </c>
      <c r="G206" t="s">
        <v>18</v>
      </c>
    </row>
    <row r="208" spans="1:9" x14ac:dyDescent="0.25">
      <c r="A208" s="1" t="s">
        <v>1</v>
      </c>
      <c r="B208" s="2" t="s">
        <v>131</v>
      </c>
      <c r="C208" s="2"/>
      <c r="D208" s="2"/>
      <c r="E208" s="2"/>
      <c r="F208" s="2"/>
      <c r="G208" s="2"/>
      <c r="H208" s="2"/>
      <c r="I208" s="2"/>
    </row>
    <row r="209" spans="1:9" x14ac:dyDescent="0.25">
      <c r="A209" t="s">
        <v>2</v>
      </c>
      <c r="B209" t="s">
        <v>133</v>
      </c>
    </row>
    <row r="210" spans="1:9" x14ac:dyDescent="0.25">
      <c r="A210" t="s">
        <v>3</v>
      </c>
      <c r="B210" t="s">
        <v>4</v>
      </c>
    </row>
    <row r="211" spans="1:9" x14ac:dyDescent="0.25">
      <c r="A211" t="s">
        <v>5</v>
      </c>
      <c r="B211">
        <v>1</v>
      </c>
    </row>
    <row r="212" spans="1:9" x14ac:dyDescent="0.25">
      <c r="A212" t="s">
        <v>6</v>
      </c>
      <c r="B212" t="s">
        <v>7</v>
      </c>
    </row>
    <row r="214" spans="1:9" x14ac:dyDescent="0.25">
      <c r="A214" s="3" t="s">
        <v>8</v>
      </c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 t="s">
        <v>9</v>
      </c>
      <c r="B215" s="3" t="s">
        <v>10</v>
      </c>
      <c r="C215" s="3" t="s">
        <v>6</v>
      </c>
      <c r="D215" s="3" t="s">
        <v>11</v>
      </c>
      <c r="E215" s="3" t="s">
        <v>3</v>
      </c>
      <c r="F215" s="3" t="s">
        <v>12</v>
      </c>
      <c r="G215" s="3" t="s">
        <v>13</v>
      </c>
      <c r="H215" s="3" t="s">
        <v>14</v>
      </c>
      <c r="I215" s="3" t="s">
        <v>2</v>
      </c>
    </row>
    <row r="216" spans="1:9" x14ac:dyDescent="0.25">
      <c r="A216" t="str">
        <f>B208</f>
        <v>Landfill_st-nicephore_HOC</v>
      </c>
      <c r="B216" t="s">
        <v>15</v>
      </c>
      <c r="C216" t="s">
        <v>7</v>
      </c>
      <c r="D216">
        <v>1</v>
      </c>
      <c r="E216" t="s">
        <v>4</v>
      </c>
      <c r="F216" t="s">
        <v>103</v>
      </c>
      <c r="G216" t="s">
        <v>16</v>
      </c>
    </row>
    <row r="217" spans="1:9" x14ac:dyDescent="0.25">
      <c r="A217" t="s">
        <v>40</v>
      </c>
      <c r="B217" t="s">
        <v>41</v>
      </c>
      <c r="C217" t="s">
        <v>39</v>
      </c>
      <c r="D217">
        <f>Transportation!B8</f>
        <v>123</v>
      </c>
      <c r="E217" t="s">
        <v>42</v>
      </c>
      <c r="F217" t="s">
        <v>101</v>
      </c>
      <c r="G217" t="s">
        <v>18</v>
      </c>
    </row>
    <row r="218" spans="1:9" x14ac:dyDescent="0.25">
      <c r="A218" t="s">
        <v>108</v>
      </c>
      <c r="B218" t="s">
        <v>109</v>
      </c>
      <c r="C218" t="s">
        <v>44</v>
      </c>
      <c r="D218">
        <v>1.2233948675764872</v>
      </c>
      <c r="E218" t="s">
        <v>43</v>
      </c>
      <c r="F218" t="s">
        <v>101</v>
      </c>
      <c r="G218" t="s">
        <v>18</v>
      </c>
      <c r="I218" t="s">
        <v>34</v>
      </c>
    </row>
    <row r="219" spans="1:9" x14ac:dyDescent="0.25">
      <c r="A219" t="s">
        <v>54</v>
      </c>
      <c r="C219" t="s">
        <v>44</v>
      </c>
      <c r="D219">
        <v>4.1479948210718032</v>
      </c>
      <c r="F219" t="s">
        <v>102</v>
      </c>
      <c r="G219" t="s">
        <v>48</v>
      </c>
      <c r="H219" t="s">
        <v>49</v>
      </c>
    </row>
    <row r="220" spans="1:9" x14ac:dyDescent="0.25">
      <c r="A220" t="s">
        <v>31</v>
      </c>
      <c r="B220" t="s">
        <v>32</v>
      </c>
      <c r="C220" t="s">
        <v>33</v>
      </c>
      <c r="D220">
        <v>80.908165582352993</v>
      </c>
      <c r="E220" t="s">
        <v>4</v>
      </c>
      <c r="F220" t="s">
        <v>101</v>
      </c>
      <c r="G220" t="s">
        <v>55</v>
      </c>
    </row>
    <row r="221" spans="1:9" x14ac:dyDescent="0.25">
      <c r="A221" t="s">
        <v>52</v>
      </c>
      <c r="C221" t="s">
        <v>44</v>
      </c>
      <c r="D221">
        <v>9.23054210587319E-3</v>
      </c>
      <c r="F221" t="s">
        <v>102</v>
      </c>
      <c r="G221" t="s">
        <v>48</v>
      </c>
      <c r="H221" t="s">
        <v>49</v>
      </c>
      <c r="I221" t="s">
        <v>30</v>
      </c>
    </row>
    <row r="222" spans="1:9" x14ac:dyDescent="0.25">
      <c r="A222" t="s">
        <v>31</v>
      </c>
      <c r="B222" t="s">
        <v>32</v>
      </c>
      <c r="C222" t="s">
        <v>33</v>
      </c>
      <c r="D222">
        <v>64.423795878188926</v>
      </c>
      <c r="E222" t="s">
        <v>4</v>
      </c>
      <c r="F222" t="s">
        <v>101</v>
      </c>
      <c r="G222" t="s">
        <v>18</v>
      </c>
    </row>
    <row r="223" spans="1:9" x14ac:dyDescent="0.25">
      <c r="A223" t="s">
        <v>51</v>
      </c>
      <c r="C223" t="s">
        <v>44</v>
      </c>
      <c r="D223">
        <v>38.489348387191299</v>
      </c>
      <c r="F223" t="s">
        <v>102</v>
      </c>
      <c r="G223" t="s">
        <v>48</v>
      </c>
      <c r="H223" t="s">
        <v>49</v>
      </c>
      <c r="I223" t="s">
        <v>30</v>
      </c>
    </row>
    <row r="224" spans="1:9" x14ac:dyDescent="0.25">
      <c r="A224" t="s">
        <v>104</v>
      </c>
      <c r="B224" t="s">
        <v>45</v>
      </c>
      <c r="C224" t="s">
        <v>46</v>
      </c>
      <c r="D224">
        <v>-2.2979659065951594</v>
      </c>
      <c r="E224" t="s">
        <v>4</v>
      </c>
      <c r="F224" t="s">
        <v>101</v>
      </c>
      <c r="G224" t="s">
        <v>18</v>
      </c>
    </row>
    <row r="226" spans="1:9" x14ac:dyDescent="0.25">
      <c r="A226" s="1" t="s">
        <v>1</v>
      </c>
      <c r="B226" s="2" t="s">
        <v>132</v>
      </c>
      <c r="C226" s="2"/>
      <c r="D226" s="2"/>
      <c r="E226" s="2"/>
      <c r="F226" s="2"/>
      <c r="G226" s="2"/>
      <c r="H226" s="2"/>
      <c r="I226" s="2"/>
    </row>
    <row r="227" spans="1:9" x14ac:dyDescent="0.25">
      <c r="A227" t="s">
        <v>2</v>
      </c>
      <c r="B227" t="s">
        <v>133</v>
      </c>
    </row>
    <row r="228" spans="1:9" x14ac:dyDescent="0.25">
      <c r="A228" t="s">
        <v>3</v>
      </c>
      <c r="B228" t="s">
        <v>4</v>
      </c>
    </row>
    <row r="229" spans="1:9" x14ac:dyDescent="0.25">
      <c r="A229" t="s">
        <v>5</v>
      </c>
      <c r="B229">
        <v>1</v>
      </c>
    </row>
    <row r="230" spans="1:9" x14ac:dyDescent="0.25">
      <c r="A230" t="s">
        <v>6</v>
      </c>
      <c r="B230" t="s">
        <v>7</v>
      </c>
    </row>
    <row r="232" spans="1:9" x14ac:dyDescent="0.25">
      <c r="A232" s="3" t="s">
        <v>8</v>
      </c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 t="s">
        <v>9</v>
      </c>
      <c r="B233" s="3" t="s">
        <v>10</v>
      </c>
      <c r="C233" s="3" t="s">
        <v>6</v>
      </c>
      <c r="D233" s="3" t="s">
        <v>11</v>
      </c>
      <c r="E233" s="3" t="s">
        <v>3</v>
      </c>
      <c r="F233" s="3" t="s">
        <v>12</v>
      </c>
      <c r="G233" s="3" t="s">
        <v>13</v>
      </c>
      <c r="H233" s="3" t="s">
        <v>14</v>
      </c>
      <c r="I233" s="3" t="s">
        <v>2</v>
      </c>
    </row>
    <row r="234" spans="1:9" x14ac:dyDescent="0.25">
      <c r="A234" t="str">
        <f>B226</f>
        <v>Landfill_cecile_de_milton_HOC</v>
      </c>
      <c r="B234" t="s">
        <v>15</v>
      </c>
      <c r="C234" t="s">
        <v>7</v>
      </c>
      <c r="D234">
        <v>1</v>
      </c>
      <c r="E234" t="s">
        <v>4</v>
      </c>
      <c r="F234" t="s">
        <v>103</v>
      </c>
      <c r="G234" t="s">
        <v>16</v>
      </c>
    </row>
    <row r="235" spans="1:9" x14ac:dyDescent="0.25">
      <c r="A235" t="s">
        <v>40</v>
      </c>
      <c r="B235" t="s">
        <v>41</v>
      </c>
      <c r="C235" t="s">
        <v>39</v>
      </c>
      <c r="D235">
        <f>Transportation!B9</f>
        <v>96</v>
      </c>
      <c r="E235" t="s">
        <v>42</v>
      </c>
      <c r="F235" t="s">
        <v>101</v>
      </c>
      <c r="G235" t="s">
        <v>18</v>
      </c>
    </row>
    <row r="236" spans="1:9" x14ac:dyDescent="0.25">
      <c r="A236" t="s">
        <v>108</v>
      </c>
      <c r="B236" t="s">
        <v>109</v>
      </c>
      <c r="C236" t="s">
        <v>44</v>
      </c>
      <c r="D236">
        <v>1.2233948675764872</v>
      </c>
      <c r="E236" t="s">
        <v>43</v>
      </c>
      <c r="F236" t="s">
        <v>101</v>
      </c>
      <c r="G236" t="s">
        <v>18</v>
      </c>
      <c r="I236" t="s">
        <v>34</v>
      </c>
    </row>
    <row r="237" spans="1:9" x14ac:dyDescent="0.25">
      <c r="A237" t="s">
        <v>54</v>
      </c>
      <c r="C237" t="s">
        <v>44</v>
      </c>
      <c r="D237">
        <v>4.1479948210718032</v>
      </c>
      <c r="F237" t="s">
        <v>102</v>
      </c>
      <c r="G237" t="s">
        <v>48</v>
      </c>
      <c r="H237" t="s">
        <v>49</v>
      </c>
    </row>
    <row r="238" spans="1:9" x14ac:dyDescent="0.25">
      <c r="A238" t="s">
        <v>31</v>
      </c>
      <c r="B238" t="s">
        <v>32</v>
      </c>
      <c r="C238" t="s">
        <v>33</v>
      </c>
      <c r="D238">
        <v>80.908165582352993</v>
      </c>
      <c r="E238" t="s">
        <v>4</v>
      </c>
      <c r="F238" t="s">
        <v>101</v>
      </c>
      <c r="G238" t="s">
        <v>55</v>
      </c>
    </row>
    <row r="239" spans="1:9" x14ac:dyDescent="0.25">
      <c r="A239" t="s">
        <v>52</v>
      </c>
      <c r="C239" t="s">
        <v>44</v>
      </c>
      <c r="D239">
        <v>9.23054210587319E-3</v>
      </c>
      <c r="F239" t="s">
        <v>102</v>
      </c>
      <c r="G239" t="s">
        <v>48</v>
      </c>
      <c r="H239" t="s">
        <v>49</v>
      </c>
      <c r="I239" t="s">
        <v>30</v>
      </c>
    </row>
    <row r="240" spans="1:9" x14ac:dyDescent="0.25">
      <c r="A240" t="s">
        <v>31</v>
      </c>
      <c r="B240" t="s">
        <v>32</v>
      </c>
      <c r="C240" t="s">
        <v>33</v>
      </c>
      <c r="D240">
        <v>64.423795878188926</v>
      </c>
      <c r="E240" t="s">
        <v>4</v>
      </c>
      <c r="F240" t="s">
        <v>101</v>
      </c>
      <c r="G240" t="s">
        <v>18</v>
      </c>
    </row>
    <row r="241" spans="1:9" x14ac:dyDescent="0.25">
      <c r="A241" t="s">
        <v>51</v>
      </c>
      <c r="C241" t="s">
        <v>44</v>
      </c>
      <c r="D241">
        <v>38.489348387191299</v>
      </c>
      <c r="F241" t="s">
        <v>102</v>
      </c>
      <c r="G241" t="s">
        <v>48</v>
      </c>
      <c r="H241" t="s">
        <v>49</v>
      </c>
      <c r="I241" t="s">
        <v>30</v>
      </c>
    </row>
    <row r="242" spans="1:9" x14ac:dyDescent="0.25">
      <c r="A242" t="s">
        <v>104</v>
      </c>
      <c r="B242" t="s">
        <v>45</v>
      </c>
      <c r="C242" t="s">
        <v>46</v>
      </c>
      <c r="D242">
        <v>-2.2979659065951594</v>
      </c>
      <c r="E242" t="s">
        <v>4</v>
      </c>
      <c r="F242" t="s">
        <v>101</v>
      </c>
      <c r="G242" t="s">
        <v>18</v>
      </c>
    </row>
    <row r="246" spans="1:9" x14ac:dyDescent="0.25">
      <c r="A246" s="1" t="s">
        <v>1</v>
      </c>
      <c r="B246" s="2" t="s">
        <v>166</v>
      </c>
      <c r="C246" s="2"/>
      <c r="D246" s="2"/>
      <c r="E246" s="2"/>
      <c r="F246" s="2"/>
      <c r="G246" s="2"/>
      <c r="H246" s="2"/>
      <c r="I246" s="2"/>
    </row>
    <row r="247" spans="1:9" x14ac:dyDescent="0.25">
      <c r="A247" t="s">
        <v>2</v>
      </c>
      <c r="B247" t="s">
        <v>124</v>
      </c>
    </row>
    <row r="248" spans="1:9" x14ac:dyDescent="0.25">
      <c r="A248" t="s">
        <v>3</v>
      </c>
      <c r="B248" t="s">
        <v>4</v>
      </c>
    </row>
    <row r="249" spans="1:9" x14ac:dyDescent="0.25">
      <c r="A249" t="s">
        <v>5</v>
      </c>
      <c r="B249">
        <v>1</v>
      </c>
    </row>
    <row r="250" spans="1:9" x14ac:dyDescent="0.25">
      <c r="A250" t="s">
        <v>6</v>
      </c>
      <c r="B250" t="s">
        <v>7</v>
      </c>
    </row>
    <row r="252" spans="1:9" x14ac:dyDescent="0.25">
      <c r="A252" s="3" t="s">
        <v>8</v>
      </c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 t="s">
        <v>9</v>
      </c>
      <c r="B253" s="3" t="s">
        <v>10</v>
      </c>
      <c r="C253" s="3" t="s">
        <v>6</v>
      </c>
      <c r="D253" s="3" t="s">
        <v>11</v>
      </c>
      <c r="E253" s="3" t="s">
        <v>3</v>
      </c>
      <c r="F253" s="3" t="s">
        <v>12</v>
      </c>
      <c r="G253" s="3" t="s">
        <v>13</v>
      </c>
      <c r="H253" s="3" t="s">
        <v>14</v>
      </c>
      <c r="I253" s="3" t="s">
        <v>2</v>
      </c>
    </row>
    <row r="254" spans="1:9" x14ac:dyDescent="0.25">
      <c r="A254" t="str">
        <f>B246</f>
        <v>Closed_composter_city_final</v>
      </c>
      <c r="B254" t="s">
        <v>15</v>
      </c>
      <c r="C254" t="s">
        <v>7</v>
      </c>
      <c r="D254">
        <v>1</v>
      </c>
      <c r="E254" t="s">
        <v>4</v>
      </c>
      <c r="F254" t="s">
        <v>103</v>
      </c>
      <c r="G254" t="s">
        <v>16</v>
      </c>
      <c r="I254" t="s">
        <v>30</v>
      </c>
    </row>
    <row r="255" spans="1:9" x14ac:dyDescent="0.25">
      <c r="A255" t="s">
        <v>31</v>
      </c>
      <c r="B255" t="s">
        <v>32</v>
      </c>
      <c r="C255" t="s">
        <v>33</v>
      </c>
      <c r="D255">
        <v>201.76904702879699</v>
      </c>
      <c r="E255" t="s">
        <v>4</v>
      </c>
      <c r="F255" t="s">
        <v>101</v>
      </c>
      <c r="G255" t="s">
        <v>18</v>
      </c>
      <c r="I255" t="s">
        <v>34</v>
      </c>
    </row>
    <row r="256" spans="1:9" x14ac:dyDescent="0.25">
      <c r="A256" t="s">
        <v>100</v>
      </c>
      <c r="B256" t="s">
        <v>99</v>
      </c>
      <c r="C256" t="s">
        <v>46</v>
      </c>
      <c r="D256">
        <v>6.7461398854140459E-2</v>
      </c>
      <c r="E256" t="s">
        <v>105</v>
      </c>
      <c r="F256" t="s">
        <v>101</v>
      </c>
      <c r="G256" t="s">
        <v>18</v>
      </c>
      <c r="I256" t="s">
        <v>34</v>
      </c>
    </row>
    <row r="257" spans="1:9" x14ac:dyDescent="0.25">
      <c r="A257" t="s">
        <v>108</v>
      </c>
      <c r="B257" t="s">
        <v>109</v>
      </c>
      <c r="C257" t="s">
        <v>44</v>
      </c>
      <c r="D257">
        <v>1.5480596850885497</v>
      </c>
      <c r="E257" t="s">
        <v>43</v>
      </c>
      <c r="F257" s="16" t="s">
        <v>101</v>
      </c>
      <c r="G257" t="s">
        <v>18</v>
      </c>
    </row>
    <row r="258" spans="1:9" x14ac:dyDescent="0.25">
      <c r="A258" t="s">
        <v>40</v>
      </c>
      <c r="B258" t="s">
        <v>41</v>
      </c>
      <c r="C258" t="s">
        <v>39</v>
      </c>
      <c r="D258">
        <f>Transportation!B14</f>
        <v>0</v>
      </c>
      <c r="E258" t="s">
        <v>42</v>
      </c>
      <c r="F258" t="s">
        <v>101</v>
      </c>
      <c r="G258" t="s">
        <v>18</v>
      </c>
      <c r="I258" t="s">
        <v>34</v>
      </c>
    </row>
    <row r="259" spans="1:9" x14ac:dyDescent="0.25">
      <c r="A259" t="s">
        <v>104</v>
      </c>
      <c r="B259" t="s">
        <v>45</v>
      </c>
      <c r="C259" t="s">
        <v>46</v>
      </c>
      <c r="D259">
        <v>-6.2798565389267605E-2</v>
      </c>
      <c r="E259" t="s">
        <v>4</v>
      </c>
      <c r="F259" t="s">
        <v>101</v>
      </c>
      <c r="G259" t="s">
        <v>18</v>
      </c>
      <c r="I259" t="s">
        <v>30</v>
      </c>
    </row>
    <row r="260" spans="1:9" x14ac:dyDescent="0.25">
      <c r="A260" t="s">
        <v>54</v>
      </c>
      <c r="C260" t="s">
        <v>44</v>
      </c>
      <c r="D260">
        <v>1.51</v>
      </c>
      <c r="F260" t="s">
        <v>102</v>
      </c>
      <c r="G260" t="s">
        <v>48</v>
      </c>
      <c r="H260" t="s">
        <v>49</v>
      </c>
    </row>
    <row r="261" spans="1:9" x14ac:dyDescent="0.25">
      <c r="A261" t="s">
        <v>52</v>
      </c>
      <c r="C261" t="s">
        <v>44</v>
      </c>
      <c r="D261">
        <v>0.18</v>
      </c>
      <c r="F261" t="s">
        <v>102</v>
      </c>
      <c r="G261" t="s">
        <v>48</v>
      </c>
      <c r="H261" t="s">
        <v>49</v>
      </c>
      <c r="I261" t="s">
        <v>30</v>
      </c>
    </row>
    <row r="262" spans="1:9" x14ac:dyDescent="0.25">
      <c r="A262" t="s">
        <v>97</v>
      </c>
      <c r="B262" t="s">
        <v>77</v>
      </c>
      <c r="C262" t="s">
        <v>44</v>
      </c>
      <c r="D262">
        <v>4.9209529363445324E-3</v>
      </c>
      <c r="E262" t="s">
        <v>80</v>
      </c>
      <c r="F262" t="s">
        <v>101</v>
      </c>
      <c r="G262" t="s">
        <v>55</v>
      </c>
    </row>
    <row r="263" spans="1:9" x14ac:dyDescent="0.25">
      <c r="A263" t="s">
        <v>98</v>
      </c>
      <c r="B263" t="s">
        <v>78</v>
      </c>
      <c r="C263" t="s">
        <v>44</v>
      </c>
      <c r="D263">
        <v>1.79180580446898</v>
      </c>
      <c r="E263" t="s">
        <v>80</v>
      </c>
      <c r="F263" t="s">
        <v>101</v>
      </c>
      <c r="G263" t="s">
        <v>55</v>
      </c>
    </row>
    <row r="264" spans="1:9" x14ac:dyDescent="0.25">
      <c r="A264" t="s">
        <v>107</v>
      </c>
      <c r="B264" t="s">
        <v>79</v>
      </c>
      <c r="C264" t="s">
        <v>44</v>
      </c>
      <c r="D264">
        <v>2.8107325301120829</v>
      </c>
      <c r="E264" t="s">
        <v>80</v>
      </c>
      <c r="F264" t="s">
        <v>101</v>
      </c>
      <c r="G264" t="s">
        <v>55</v>
      </c>
    </row>
    <row r="265" spans="1:9" x14ac:dyDescent="0.25">
      <c r="A265" t="s">
        <v>126</v>
      </c>
      <c r="B265" t="s">
        <v>125</v>
      </c>
      <c r="C265" t="s">
        <v>44</v>
      </c>
      <c r="D265">
        <v>1.1413074347177683</v>
      </c>
      <c r="E265" t="s">
        <v>43</v>
      </c>
      <c r="F265" t="s">
        <v>101</v>
      </c>
      <c r="G265" t="s">
        <v>18</v>
      </c>
    </row>
    <row r="267" spans="1:9" x14ac:dyDescent="0.25">
      <c r="A267" s="3"/>
    </row>
    <row r="273" spans="1:9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92" spans="4:4" x14ac:dyDescent="0.25">
      <c r="D292" s="10"/>
    </row>
    <row r="293" spans="4:4" x14ac:dyDescent="0.25">
      <c r="D293" s="10"/>
    </row>
    <row r="294" spans="4:4" x14ac:dyDescent="0.25">
      <c r="D294" s="10"/>
    </row>
    <row r="295" spans="4:4" x14ac:dyDescent="0.25">
      <c r="D295" s="10"/>
    </row>
    <row r="296" spans="4:4" x14ac:dyDescent="0.25">
      <c r="D296" s="10"/>
    </row>
    <row r="297" spans="4:4" x14ac:dyDescent="0.25">
      <c r="D297" s="10"/>
    </row>
    <row r="298" spans="4:4" x14ac:dyDescent="0.25">
      <c r="D298" s="10"/>
    </row>
    <row r="299" spans="4:4" x14ac:dyDescent="0.25">
      <c r="D299" s="10"/>
    </row>
    <row r="300" spans="4:4" x14ac:dyDescent="0.25">
      <c r="D300" s="10"/>
    </row>
    <row r="301" spans="4:4" x14ac:dyDescent="0.25">
      <c r="D301" s="10"/>
    </row>
    <row r="302" spans="4:4" x14ac:dyDescent="0.25">
      <c r="D302" s="10"/>
    </row>
    <row r="303" spans="4:4" x14ac:dyDescent="0.25">
      <c r="D303" s="10"/>
    </row>
    <row r="304" spans="4:4" x14ac:dyDescent="0.25">
      <c r="D304" s="10"/>
    </row>
    <row r="305" spans="4:4" x14ac:dyDescent="0.25">
      <c r="D305" s="10"/>
    </row>
    <row r="306" spans="4:4" x14ac:dyDescent="0.25">
      <c r="D306" s="10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35FC-1A5C-4366-B721-8F008F0E5DA1}">
  <dimension ref="A1:N30"/>
  <sheetViews>
    <sheetView workbookViewId="0">
      <selection activeCell="J14" sqref="J14"/>
    </sheetView>
  </sheetViews>
  <sheetFormatPr defaultRowHeight="15" x14ac:dyDescent="0.25"/>
  <cols>
    <col min="2" max="2" width="18" customWidth="1"/>
    <col min="3" max="3" width="26.28515625" customWidth="1"/>
    <col min="4" max="4" width="33.85546875" customWidth="1"/>
    <col min="5" max="5" width="21.42578125" customWidth="1"/>
  </cols>
  <sheetData>
    <row r="1" spans="1:14" ht="23.25" x14ac:dyDescent="0.35">
      <c r="A1" s="39" t="s">
        <v>185</v>
      </c>
      <c r="B1" s="39"/>
    </row>
    <row r="2" spans="1:14" x14ac:dyDescent="0.25">
      <c r="F2" t="s">
        <v>76</v>
      </c>
    </row>
    <row r="3" spans="1:14" x14ac:dyDescent="0.25">
      <c r="D3" t="s">
        <v>189</v>
      </c>
      <c r="E3">
        <v>313091.03699999995</v>
      </c>
      <c r="F3" t="s">
        <v>7</v>
      </c>
    </row>
    <row r="4" spans="1:14" ht="42" customHeight="1" thickBot="1" x14ac:dyDescent="0.35">
      <c r="A4" s="40" t="s">
        <v>186</v>
      </c>
      <c r="B4" s="40"/>
      <c r="C4" s="40"/>
      <c r="D4" s="40"/>
      <c r="E4" s="40"/>
    </row>
    <row r="5" spans="1:14" ht="15.75" thickTop="1" x14ac:dyDescent="0.25">
      <c r="A5" t="s">
        <v>187</v>
      </c>
    </row>
    <row r="6" spans="1:14" x14ac:dyDescent="0.25">
      <c r="A6" s="36" t="s">
        <v>147</v>
      </c>
      <c r="B6" s="36" t="s">
        <v>148</v>
      </c>
      <c r="C6" s="36" t="s">
        <v>169</v>
      </c>
      <c r="D6" s="38" t="s">
        <v>149</v>
      </c>
      <c r="E6" s="2" t="s">
        <v>184</v>
      </c>
      <c r="F6" s="28"/>
      <c r="G6" s="28"/>
      <c r="H6" s="28"/>
    </row>
    <row r="7" spans="1:14" ht="19.5" x14ac:dyDescent="0.3">
      <c r="A7" s="37" t="s">
        <v>114</v>
      </c>
      <c r="B7" s="30">
        <v>12050.67</v>
      </c>
      <c r="C7" s="30" t="s">
        <v>153</v>
      </c>
      <c r="D7">
        <f>B7/$E$3*1000</f>
        <v>38.489348387191299</v>
      </c>
      <c r="E7" t="s">
        <v>154</v>
      </c>
      <c r="F7" s="31"/>
      <c r="G7" s="30"/>
      <c r="H7" s="30"/>
      <c r="L7" s="32"/>
      <c r="M7" s="32"/>
      <c r="N7" s="32"/>
    </row>
    <row r="8" spans="1:14" ht="19.5" x14ac:dyDescent="0.25">
      <c r="A8" s="37" t="s">
        <v>170</v>
      </c>
      <c r="B8" s="30">
        <v>1298.7</v>
      </c>
      <c r="C8" s="30" t="s">
        <v>157</v>
      </c>
      <c r="D8">
        <f t="shared" ref="D8:D9" si="0">B8/$E$3*1000</f>
        <v>4.1479948210718032</v>
      </c>
      <c r="E8" t="s">
        <v>154</v>
      </c>
      <c r="F8" s="31"/>
      <c r="G8" s="30"/>
      <c r="H8" s="30"/>
      <c r="L8" s="33"/>
      <c r="M8" s="34"/>
      <c r="N8" s="34"/>
    </row>
    <row r="9" spans="1:14" ht="19.5" x14ac:dyDescent="0.25">
      <c r="A9" s="37" t="s">
        <v>115</v>
      </c>
      <c r="B9" s="30">
        <v>2.89</v>
      </c>
      <c r="C9" s="30">
        <v>766</v>
      </c>
      <c r="D9">
        <f t="shared" si="0"/>
        <v>9.23054210587319E-3</v>
      </c>
      <c r="E9" t="s">
        <v>154</v>
      </c>
      <c r="F9" s="31"/>
      <c r="G9" s="30"/>
      <c r="H9" s="30"/>
      <c r="L9" s="33"/>
      <c r="M9" s="34"/>
      <c r="N9" s="34"/>
    </row>
    <row r="10" spans="1:14" ht="19.5" x14ac:dyDescent="0.25">
      <c r="A10" s="37" t="s">
        <v>162</v>
      </c>
      <c r="B10" s="30">
        <v>0</v>
      </c>
      <c r="C10" s="30">
        <v>0</v>
      </c>
      <c r="F10" s="31"/>
      <c r="G10" s="30"/>
      <c r="H10" s="30"/>
      <c r="L10" s="33"/>
      <c r="M10" s="34"/>
      <c r="N10" s="34"/>
    </row>
    <row r="11" spans="1:14" ht="19.5" x14ac:dyDescent="0.25">
      <c r="A11" s="37" t="s">
        <v>163</v>
      </c>
      <c r="B11" s="30">
        <v>0</v>
      </c>
      <c r="C11" s="30">
        <v>0</v>
      </c>
      <c r="F11" s="31"/>
      <c r="G11" s="30"/>
      <c r="H11" s="30"/>
      <c r="L11" s="33"/>
      <c r="M11" s="34"/>
      <c r="N11" s="34"/>
    </row>
    <row r="12" spans="1:14" ht="19.5" x14ac:dyDescent="0.25">
      <c r="A12" s="37" t="s">
        <v>171</v>
      </c>
      <c r="B12" s="30">
        <v>0</v>
      </c>
      <c r="C12" s="30">
        <v>0</v>
      </c>
      <c r="F12" s="31"/>
      <c r="G12" s="30"/>
      <c r="H12" s="30"/>
      <c r="L12" s="33"/>
      <c r="M12" s="34"/>
      <c r="N12" s="34"/>
    </row>
    <row r="13" spans="1:14" ht="19.5" x14ac:dyDescent="0.25">
      <c r="A13" s="41" t="s">
        <v>164</v>
      </c>
      <c r="B13" s="41"/>
      <c r="C13" s="30" t="s">
        <v>165</v>
      </c>
      <c r="F13" s="42"/>
      <c r="G13" s="42"/>
      <c r="H13" s="30"/>
      <c r="L13" s="33"/>
      <c r="M13" s="34"/>
      <c r="N13" s="34"/>
    </row>
    <row r="14" spans="1:14" ht="19.5" x14ac:dyDescent="0.25">
      <c r="L14" s="43"/>
      <c r="M14" s="43"/>
      <c r="N14" s="34"/>
    </row>
    <row r="16" spans="1:14" ht="45" x14ac:dyDescent="0.25">
      <c r="A16" s="21" t="s">
        <v>138</v>
      </c>
      <c r="B16" s="22" t="s">
        <v>188</v>
      </c>
      <c r="C16" s="23" t="s">
        <v>139</v>
      </c>
      <c r="D16" s="23" t="s">
        <v>140</v>
      </c>
    </row>
    <row r="17" spans="1:8" x14ac:dyDescent="0.25">
      <c r="A17" t="s">
        <v>141</v>
      </c>
      <c r="B17" s="24" t="s">
        <v>142</v>
      </c>
      <c r="C17" s="25" t="s">
        <v>143</v>
      </c>
      <c r="D17" s="26">
        <v>6370</v>
      </c>
    </row>
    <row r="18" spans="1:8" x14ac:dyDescent="0.25">
      <c r="A18" t="s">
        <v>144</v>
      </c>
      <c r="B18" s="24" t="s">
        <v>145</v>
      </c>
      <c r="C18" s="27" t="s">
        <v>146</v>
      </c>
      <c r="D18" s="26">
        <v>27915</v>
      </c>
    </row>
    <row r="19" spans="1:8" ht="19.5" x14ac:dyDescent="0.3">
      <c r="A19" t="s">
        <v>150</v>
      </c>
      <c r="B19" s="24" t="s">
        <v>151</v>
      </c>
      <c r="C19" s="29" t="s">
        <v>152</v>
      </c>
      <c r="D19" s="26">
        <v>6173</v>
      </c>
      <c r="F19" s="32"/>
      <c r="G19" s="32"/>
      <c r="H19" s="32"/>
    </row>
    <row r="20" spans="1:8" ht="19.5" x14ac:dyDescent="0.25">
      <c r="A20" t="s">
        <v>155</v>
      </c>
      <c r="B20" s="24" t="s">
        <v>145</v>
      </c>
      <c r="C20" s="27" t="s">
        <v>156</v>
      </c>
      <c r="D20" s="26">
        <v>6171</v>
      </c>
      <c r="F20" s="33"/>
      <c r="G20" s="34"/>
      <c r="H20" s="34"/>
    </row>
    <row r="21" spans="1:8" ht="19.5" x14ac:dyDescent="0.25">
      <c r="A21" t="s">
        <v>158</v>
      </c>
      <c r="B21" s="24" t="s">
        <v>142</v>
      </c>
      <c r="C21" s="25" t="s">
        <v>159</v>
      </c>
      <c r="D21" s="35"/>
      <c r="F21" s="33"/>
      <c r="G21" s="34"/>
      <c r="H21" s="34"/>
    </row>
    <row r="22" spans="1:8" ht="19.5" x14ac:dyDescent="0.25">
      <c r="A22" t="s">
        <v>160</v>
      </c>
      <c r="B22" s="24" t="s">
        <v>145</v>
      </c>
      <c r="C22" s="27" t="s">
        <v>161</v>
      </c>
      <c r="D22" s="26">
        <v>31585</v>
      </c>
      <c r="F22" s="33"/>
      <c r="G22" s="34"/>
      <c r="H22" s="34"/>
    </row>
    <row r="23" spans="1:8" ht="19.5" x14ac:dyDescent="0.25">
      <c r="A23" s="33"/>
      <c r="B23" s="34"/>
      <c r="C23" s="34"/>
      <c r="F23" s="33"/>
      <c r="G23" s="34"/>
      <c r="H23" s="34"/>
    </row>
    <row r="24" spans="1:8" ht="19.5" x14ac:dyDescent="0.25">
      <c r="A24" s="33"/>
      <c r="B24" s="34"/>
      <c r="C24" s="34"/>
      <c r="F24" s="33"/>
      <c r="G24" s="34"/>
      <c r="H24" s="34"/>
    </row>
    <row r="25" spans="1:8" ht="19.5" x14ac:dyDescent="0.25">
      <c r="A25" s="33"/>
      <c r="B25" s="34"/>
      <c r="C25" s="34"/>
      <c r="F25" s="33"/>
      <c r="G25" s="34"/>
      <c r="H25" s="34"/>
    </row>
    <row r="26" spans="1:8" ht="19.5" x14ac:dyDescent="0.25">
      <c r="A26" s="43"/>
      <c r="B26" s="43"/>
      <c r="C26" s="34"/>
      <c r="F26" s="43"/>
      <c r="G26" s="43"/>
      <c r="H26" s="34"/>
    </row>
    <row r="30" spans="1:8" ht="19.5" x14ac:dyDescent="0.3">
      <c r="A30" s="32"/>
      <c r="B30" s="32"/>
      <c r="C30" s="32"/>
    </row>
  </sheetData>
  <mergeCells count="5">
    <mergeCell ref="A13:B13"/>
    <mergeCell ref="F13:G13"/>
    <mergeCell ref="L14:M14"/>
    <mergeCell ref="A26:B26"/>
    <mergeCell ref="F26:G26"/>
  </mergeCells>
  <hyperlinks>
    <hyperlink ref="C17" r:id="rId1" xr:uid="{E71269C4-76DD-4131-A8B9-5E1BF12DF460}"/>
    <hyperlink ref="D17" r:id="rId2" display="https://pollution-waste.canada.ca/national-release-inventory/2023/6370" xr:uid="{EDC7F97D-34E5-4A02-B04D-0202197DF25C}"/>
    <hyperlink ref="C18" r:id="rId3" xr:uid="{3BACF308-B69E-409F-BC9C-4C78F3C375FE}"/>
    <hyperlink ref="D18" r:id="rId4" display="https://pollution-waste.canada.ca/national-release-inventory/2023/27915" xr:uid="{A2C8B3E7-BFC8-438A-97CD-A447199B072C}"/>
    <hyperlink ref="D19" r:id="rId5" display="https://pollution-waste.canada.ca/national-release-inventory/2023/6173" xr:uid="{944BC22D-3A40-420B-B716-E804BC3EE122}"/>
    <hyperlink ref="C19" r:id="rId6" xr:uid="{0B9A38D6-4A47-4A68-B6D3-F3BB30F89FC7}"/>
    <hyperlink ref="D20" r:id="rId7" display="https://pollution-waste.canada.ca/national-release-inventory/2023/6171" xr:uid="{8EC7C4FB-94C3-4B67-BCDD-D56555A9C4B7}"/>
    <hyperlink ref="C20" r:id="rId8" xr:uid="{C469E82F-E365-4740-8933-58B6B9EDDB78}"/>
    <hyperlink ref="C21" r:id="rId9" xr:uid="{6662CA29-13B4-4718-822E-5B06743316B2}"/>
    <hyperlink ref="D22" r:id="rId10" display="https://pollution-waste.canada.ca/national-release-inventory/2023/31585" xr:uid="{38A76467-7032-4C97-817F-CEF80CEEE1A1}"/>
    <hyperlink ref="C22" r:id="rId11" xr:uid="{77EAD469-2913-4E2D-A572-64B6A9DC7DB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B28-F383-4E17-A2A8-C3C4D97F8AC9}">
  <dimension ref="A1:G18"/>
  <sheetViews>
    <sheetView workbookViewId="0">
      <selection activeCell="H22" sqref="H22"/>
    </sheetView>
  </sheetViews>
  <sheetFormatPr defaultRowHeight="15" x14ac:dyDescent="0.25"/>
  <cols>
    <col min="1" max="1" width="25" customWidth="1"/>
  </cols>
  <sheetData>
    <row r="1" spans="1:7" ht="23.25" x14ac:dyDescent="0.35">
      <c r="A1" s="20" t="s">
        <v>66</v>
      </c>
    </row>
    <row r="3" spans="1:7" x14ac:dyDescent="0.25">
      <c r="A3" s="14" t="s">
        <v>69</v>
      </c>
      <c r="B3" s="14" t="s">
        <v>70</v>
      </c>
      <c r="C3" s="14" t="s">
        <v>184</v>
      </c>
      <c r="D3" s="14" t="s">
        <v>72</v>
      </c>
      <c r="E3" s="14" t="s">
        <v>73</v>
      </c>
      <c r="F3" s="14"/>
      <c r="G3" s="14"/>
    </row>
    <row r="4" spans="1:7" x14ac:dyDescent="0.25">
      <c r="A4" t="s">
        <v>17</v>
      </c>
      <c r="B4">
        <v>45</v>
      </c>
      <c r="C4" t="s">
        <v>74</v>
      </c>
      <c r="D4" t="s">
        <v>135</v>
      </c>
      <c r="E4" t="s">
        <v>137</v>
      </c>
    </row>
    <row r="5" spans="1:7" x14ac:dyDescent="0.25">
      <c r="A5" t="s">
        <v>19</v>
      </c>
      <c r="B5">
        <v>32</v>
      </c>
      <c r="C5" t="s">
        <v>74</v>
      </c>
      <c r="D5" t="s">
        <v>135</v>
      </c>
      <c r="E5" t="s">
        <v>137</v>
      </c>
    </row>
    <row r="6" spans="1:7" x14ac:dyDescent="0.25">
      <c r="A6" t="s">
        <v>20</v>
      </c>
      <c r="B6">
        <v>74</v>
      </c>
      <c r="C6" t="s">
        <v>74</v>
      </c>
      <c r="D6" t="s">
        <v>135</v>
      </c>
      <c r="E6" t="s">
        <v>137</v>
      </c>
    </row>
    <row r="7" spans="1:7" x14ac:dyDescent="0.25">
      <c r="A7" t="s">
        <v>21</v>
      </c>
      <c r="B7">
        <v>77.400000000000006</v>
      </c>
      <c r="C7" t="s">
        <v>74</v>
      </c>
      <c r="D7" t="s">
        <v>75</v>
      </c>
      <c r="E7" t="s">
        <v>136</v>
      </c>
    </row>
    <row r="8" spans="1:7" x14ac:dyDescent="0.25">
      <c r="A8" t="s">
        <v>22</v>
      </c>
      <c r="B8">
        <v>123</v>
      </c>
      <c r="C8" t="s">
        <v>74</v>
      </c>
      <c r="D8" t="s">
        <v>135</v>
      </c>
      <c r="E8" t="s">
        <v>137</v>
      </c>
    </row>
    <row r="9" spans="1:7" x14ac:dyDescent="0.25">
      <c r="A9" t="s">
        <v>23</v>
      </c>
      <c r="B9">
        <v>96</v>
      </c>
      <c r="C9" t="s">
        <v>74</v>
      </c>
      <c r="D9" t="s">
        <v>135</v>
      </c>
      <c r="E9" t="s">
        <v>137</v>
      </c>
    </row>
    <row r="10" spans="1:7" x14ac:dyDescent="0.25">
      <c r="A10" t="s">
        <v>24</v>
      </c>
      <c r="B10">
        <v>133</v>
      </c>
      <c r="C10" t="s">
        <v>74</v>
      </c>
      <c r="D10" t="s">
        <v>135</v>
      </c>
      <c r="E10" t="s">
        <v>137</v>
      </c>
    </row>
    <row r="11" spans="1:7" x14ac:dyDescent="0.25">
      <c r="A11" t="s">
        <v>25</v>
      </c>
      <c r="B11">
        <v>6</v>
      </c>
      <c r="C11" t="s">
        <v>74</v>
      </c>
      <c r="D11" t="s">
        <v>135</v>
      </c>
      <c r="E11" t="s">
        <v>137</v>
      </c>
    </row>
    <row r="12" spans="1:7" x14ac:dyDescent="0.25">
      <c r="A12" t="s">
        <v>26</v>
      </c>
      <c r="B12">
        <v>32</v>
      </c>
      <c r="C12" t="s">
        <v>74</v>
      </c>
      <c r="D12" t="s">
        <v>135</v>
      </c>
      <c r="E12" t="s">
        <v>137</v>
      </c>
    </row>
    <row r="13" spans="1:7" x14ac:dyDescent="0.25">
      <c r="A13" t="s">
        <v>27</v>
      </c>
      <c r="B13">
        <v>74</v>
      </c>
      <c r="C13" t="s">
        <v>74</v>
      </c>
      <c r="D13" t="s">
        <v>135</v>
      </c>
      <c r="E13" t="s">
        <v>137</v>
      </c>
    </row>
    <row r="14" spans="1:7" x14ac:dyDescent="0.25">
      <c r="A14" t="s">
        <v>28</v>
      </c>
      <c r="B14">
        <v>0</v>
      </c>
      <c r="C14" t="s">
        <v>74</v>
      </c>
      <c r="D14" t="s">
        <v>135</v>
      </c>
      <c r="E14" t="s">
        <v>137</v>
      </c>
    </row>
    <row r="15" spans="1:7" x14ac:dyDescent="0.25">
      <c r="A15" t="s">
        <v>29</v>
      </c>
      <c r="B15">
        <v>0</v>
      </c>
      <c r="C15" t="s">
        <v>74</v>
      </c>
      <c r="D15" t="s">
        <v>135</v>
      </c>
      <c r="E15" t="s">
        <v>137</v>
      </c>
    </row>
    <row r="17" spans="1:2" x14ac:dyDescent="0.25">
      <c r="A17" t="s">
        <v>183</v>
      </c>
    </row>
    <row r="18" spans="1:2" x14ac:dyDescent="0.25">
      <c r="A18" t="s">
        <v>67</v>
      </c>
      <c r="B1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9483-8BE5-4223-B419-E3DE6D98BB0C}">
  <dimension ref="A1:D12"/>
  <sheetViews>
    <sheetView workbookViewId="0">
      <selection activeCell="H11" sqref="H11"/>
    </sheetView>
  </sheetViews>
  <sheetFormatPr defaultRowHeight="15" x14ac:dyDescent="0.25"/>
  <cols>
    <col min="1" max="1" width="25" customWidth="1"/>
    <col min="2" max="2" width="13.42578125" customWidth="1"/>
  </cols>
  <sheetData>
    <row r="1" spans="1:4" ht="23.25" x14ac:dyDescent="0.35">
      <c r="A1" s="19" t="s">
        <v>182</v>
      </c>
    </row>
    <row r="2" spans="1:4" x14ac:dyDescent="0.25">
      <c r="B2" s="3"/>
      <c r="C2" s="3" t="s">
        <v>71</v>
      </c>
      <c r="D2" s="3"/>
    </row>
    <row r="3" spans="1:4" x14ac:dyDescent="0.25">
      <c r="A3" s="3" t="s">
        <v>173</v>
      </c>
      <c r="B3">
        <v>18.63</v>
      </c>
      <c r="C3" t="s">
        <v>91</v>
      </c>
    </row>
    <row r="4" spans="1:4" x14ac:dyDescent="0.25">
      <c r="A4" s="3" t="s">
        <v>172</v>
      </c>
      <c r="B4">
        <v>38.32</v>
      </c>
      <c r="C4" t="s">
        <v>91</v>
      </c>
    </row>
    <row r="5" spans="1:4" x14ac:dyDescent="0.25">
      <c r="A5" s="3" t="s">
        <v>174</v>
      </c>
      <c r="B5">
        <f>B3/B4</f>
        <v>0.48616910229645088</v>
      </c>
      <c r="C5" t="s">
        <v>92</v>
      </c>
    </row>
    <row r="6" spans="1:4" ht="30" x14ac:dyDescent="0.25">
      <c r="A6" s="18" t="s">
        <v>93</v>
      </c>
      <c r="B6">
        <v>2579984</v>
      </c>
      <c r="C6" t="s">
        <v>81</v>
      </c>
    </row>
    <row r="7" spans="1:4" x14ac:dyDescent="0.25">
      <c r="A7" s="3" t="s">
        <v>94</v>
      </c>
      <c r="B7">
        <v>60000</v>
      </c>
      <c r="C7" t="s">
        <v>95</v>
      </c>
    </row>
    <row r="8" spans="1:4" ht="30" x14ac:dyDescent="0.25">
      <c r="A8" s="18" t="s">
        <v>110</v>
      </c>
      <c r="B8">
        <v>400.27962588855576</v>
      </c>
      <c r="C8" t="s">
        <v>111</v>
      </c>
    </row>
    <row r="9" spans="1:4" ht="30" x14ac:dyDescent="0.25">
      <c r="A9" s="18" t="s">
        <v>134</v>
      </c>
      <c r="B9">
        <f>B6/B7</f>
        <v>42.999733333333332</v>
      </c>
      <c r="C9" t="s">
        <v>111</v>
      </c>
    </row>
    <row r="10" spans="1:4" x14ac:dyDescent="0.25">
      <c r="A10" s="3"/>
    </row>
    <row r="11" spans="1:4" x14ac:dyDescent="0.25">
      <c r="A11" s="3" t="s">
        <v>112</v>
      </c>
      <c r="B11">
        <f>B6*B5/B7</f>
        <v>20.905141753653442</v>
      </c>
      <c r="C11" t="s">
        <v>96</v>
      </c>
    </row>
    <row r="12" spans="1:4" x14ac:dyDescent="0.25">
      <c r="A12" s="3" t="s">
        <v>113</v>
      </c>
      <c r="B12">
        <f>B8*B5</f>
        <v>194.60358638579837</v>
      </c>
      <c r="C12" t="s">
        <v>96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DF4-6D0E-4BC8-8AFC-0764B2A32407}">
  <dimension ref="A1:H41"/>
  <sheetViews>
    <sheetView workbookViewId="0"/>
  </sheetViews>
  <sheetFormatPr defaultRowHeight="15" x14ac:dyDescent="0.25"/>
  <cols>
    <col min="1" max="1" width="19.5703125" customWidth="1"/>
    <col min="3" max="5" width="24" customWidth="1"/>
    <col min="6" max="6" width="17.5703125" customWidth="1"/>
    <col min="9" max="9" width="47.28515625" customWidth="1"/>
    <col min="10" max="10" width="46.85546875" customWidth="1"/>
  </cols>
  <sheetData>
    <row r="1" spans="1:8" ht="23.25" x14ac:dyDescent="0.35">
      <c r="A1" s="19" t="s">
        <v>176</v>
      </c>
    </row>
    <row r="2" spans="1:8" ht="20.25" thickBot="1" x14ac:dyDescent="0.35">
      <c r="A2" s="17" t="s">
        <v>180</v>
      </c>
      <c r="B2" s="17"/>
      <c r="C2" s="17"/>
      <c r="D2" s="17"/>
      <c r="E2" s="17"/>
      <c r="F2" s="17"/>
      <c r="G2" s="17"/>
      <c r="H2" s="17"/>
    </row>
    <row r="3" spans="1:8" ht="15.75" thickTop="1" x14ac:dyDescent="0.25">
      <c r="A3" t="s">
        <v>175</v>
      </c>
      <c r="C3" t="s">
        <v>177</v>
      </c>
      <c r="D3" t="s">
        <v>178</v>
      </c>
      <c r="F3" t="s">
        <v>179</v>
      </c>
    </row>
    <row r="4" spans="1:8" x14ac:dyDescent="0.25">
      <c r="A4" t="s">
        <v>83</v>
      </c>
      <c r="B4" t="s">
        <v>84</v>
      </c>
      <c r="C4" t="s">
        <v>121</v>
      </c>
      <c r="D4" s="15">
        <v>0.23</v>
      </c>
      <c r="E4" t="s">
        <v>117</v>
      </c>
      <c r="F4" s="15">
        <v>0.81</v>
      </c>
      <c r="G4" t="s">
        <v>117</v>
      </c>
    </row>
    <row r="5" spans="1:8" x14ac:dyDescent="0.25">
      <c r="A5">
        <v>1</v>
      </c>
      <c r="B5" t="s">
        <v>88</v>
      </c>
      <c r="D5">
        <v>1</v>
      </c>
      <c r="E5" t="s">
        <v>88</v>
      </c>
      <c r="F5">
        <v>1</v>
      </c>
      <c r="G5" t="s">
        <v>120</v>
      </c>
    </row>
    <row r="6" spans="1:8" x14ac:dyDescent="0.25">
      <c r="A6">
        <v>2.5</v>
      </c>
      <c r="B6" t="s">
        <v>89</v>
      </c>
      <c r="C6">
        <v>1</v>
      </c>
      <c r="D6">
        <f>D5/(1-D4)</f>
        <v>1.2987012987012987</v>
      </c>
      <c r="E6" t="s">
        <v>89</v>
      </c>
      <c r="F6">
        <f>F5/(1-F4)</f>
        <v>5.2631578947368434</v>
      </c>
      <c r="G6" t="s">
        <v>119</v>
      </c>
    </row>
    <row r="7" spans="1:8" x14ac:dyDescent="0.25">
      <c r="A7">
        <v>4</v>
      </c>
      <c r="B7" t="s">
        <v>85</v>
      </c>
      <c r="C7">
        <f>13*0.4536</f>
        <v>5.8967999999999998</v>
      </c>
      <c r="D7">
        <f>6190/1000</f>
        <v>6.19</v>
      </c>
      <c r="E7" t="s">
        <v>85</v>
      </c>
      <c r="F7">
        <f>75000*(1000/(10^6))</f>
        <v>75</v>
      </c>
      <c r="G7" t="s">
        <v>85</v>
      </c>
    </row>
    <row r="8" spans="1:8" x14ac:dyDescent="0.25">
      <c r="A8">
        <v>6</v>
      </c>
      <c r="B8" t="s">
        <v>86</v>
      </c>
      <c r="C8">
        <f>16*0.4536</f>
        <v>7.2576000000000001</v>
      </c>
      <c r="D8">
        <f>9710/1000</f>
        <v>9.7100000000000009</v>
      </c>
      <c r="E8" t="s">
        <v>86</v>
      </c>
      <c r="F8">
        <f>6500*(1000/(10^6))</f>
        <v>6.5</v>
      </c>
      <c r="G8" t="s">
        <v>86</v>
      </c>
    </row>
    <row r="9" spans="1:8" x14ac:dyDescent="0.25">
      <c r="A9">
        <v>7</v>
      </c>
      <c r="B9" t="s">
        <v>87</v>
      </c>
      <c r="C9">
        <f>48.8*0.4536</f>
        <v>22.135679999999997</v>
      </c>
      <c r="D9">
        <f>17/1000</f>
        <v>1.7000000000000001E-2</v>
      </c>
      <c r="E9" t="s">
        <v>167</v>
      </c>
      <c r="F9">
        <f>71000*(1000/(10^6))</f>
        <v>71</v>
      </c>
      <c r="G9" t="s">
        <v>118</v>
      </c>
    </row>
    <row r="11" spans="1:8" ht="20.25" thickBot="1" x14ac:dyDescent="0.35">
      <c r="A11" s="17" t="s">
        <v>181</v>
      </c>
      <c r="B11" s="17"/>
      <c r="C11" s="17"/>
      <c r="D11" s="17"/>
      <c r="E11" s="17"/>
      <c r="F11" s="17"/>
      <c r="G11" s="17"/>
      <c r="H11" s="17"/>
    </row>
    <row r="12" spans="1:8" ht="15.75" thickTop="1" x14ac:dyDescent="0.25">
      <c r="A12" t="s">
        <v>175</v>
      </c>
    </row>
    <row r="13" spans="1:8" x14ac:dyDescent="0.25">
      <c r="A13">
        <v>1</v>
      </c>
      <c r="B13" t="s">
        <v>90</v>
      </c>
    </row>
    <row r="14" spans="1:8" x14ac:dyDescent="0.25">
      <c r="A14">
        <v>0.10546</v>
      </c>
      <c r="B14" t="s">
        <v>89</v>
      </c>
    </row>
    <row r="15" spans="1:8" x14ac:dyDescent="0.25">
      <c r="A15">
        <f>$A$14/$A$6*A7</f>
        <v>0.168736</v>
      </c>
      <c r="B15" t="s">
        <v>85</v>
      </c>
    </row>
    <row r="16" spans="1:8" x14ac:dyDescent="0.25">
      <c r="A16">
        <f>$A$14/$A$6*A8</f>
        <v>0.253104</v>
      </c>
      <c r="B16" t="s">
        <v>86</v>
      </c>
    </row>
    <row r="17" spans="1:2" x14ac:dyDescent="0.25">
      <c r="A17">
        <f t="shared" ref="A17" si="0">$A$14/$A$6*A9</f>
        <v>0.29528799999999999</v>
      </c>
      <c r="B17" t="s">
        <v>87</v>
      </c>
    </row>
    <row r="21" spans="1:2" x14ac:dyDescent="0.25">
      <c r="A21" t="str">
        <f>C3</f>
        <v xml:space="preserve">Windrow compost </v>
      </c>
    </row>
    <row r="22" spans="1:2" x14ac:dyDescent="0.25">
      <c r="A22">
        <v>1</v>
      </c>
      <c r="B22" t="s">
        <v>90</v>
      </c>
    </row>
    <row r="23" spans="1:2" x14ac:dyDescent="0.25">
      <c r="A23">
        <v>0.10546</v>
      </c>
      <c r="B23" t="s">
        <v>89</v>
      </c>
    </row>
    <row r="24" spans="1:2" x14ac:dyDescent="0.25">
      <c r="A24">
        <f>A23*C9</f>
        <v>2.3344288127999997</v>
      </c>
      <c r="B24" t="s">
        <v>87</v>
      </c>
    </row>
    <row r="25" spans="1:2" x14ac:dyDescent="0.25">
      <c r="A25">
        <f>A23*C7</f>
        <v>0.62187652799999993</v>
      </c>
      <c r="B25" t="s">
        <v>85</v>
      </c>
    </row>
    <row r="26" spans="1:2" x14ac:dyDescent="0.25">
      <c r="A26">
        <f>A23/C8</f>
        <v>1.453097442680776E-2</v>
      </c>
      <c r="B26" t="s">
        <v>86</v>
      </c>
    </row>
    <row r="28" spans="1:2" x14ac:dyDescent="0.25">
      <c r="A28" t="str">
        <f>F3</f>
        <v>Digestate</v>
      </c>
    </row>
    <row r="29" spans="1:2" x14ac:dyDescent="0.25">
      <c r="A29">
        <v>1</v>
      </c>
      <c r="B29" t="s">
        <v>90</v>
      </c>
    </row>
    <row r="30" spans="1:2" x14ac:dyDescent="0.25">
      <c r="A30">
        <v>0.23499999999999999</v>
      </c>
      <c r="B30" t="s">
        <v>119</v>
      </c>
    </row>
    <row r="31" spans="1:2" x14ac:dyDescent="0.25">
      <c r="A31">
        <f>A30/F6*F9</f>
        <v>3.1701499999999991</v>
      </c>
      <c r="B31" t="s">
        <v>87</v>
      </c>
    </row>
    <row r="32" spans="1:2" x14ac:dyDescent="0.25">
      <c r="A32">
        <f>A30/F6*F7</f>
        <v>3.348749999999999</v>
      </c>
      <c r="B32" t="s">
        <v>85</v>
      </c>
    </row>
    <row r="33" spans="1:2" x14ac:dyDescent="0.25">
      <c r="A33">
        <f>A30/F6*F8</f>
        <v>0.2902249999999999</v>
      </c>
      <c r="B33" t="s">
        <v>86</v>
      </c>
    </row>
    <row r="37" spans="1:2" x14ac:dyDescent="0.25">
      <c r="A37" t="str">
        <f>D3</f>
        <v>City compost final</v>
      </c>
      <c r="B37" t="s">
        <v>168</v>
      </c>
    </row>
    <row r="38" spans="1:2" x14ac:dyDescent="0.25">
      <c r="A38">
        <v>0.37593223348697724</v>
      </c>
      <c r="B38" t="s">
        <v>89</v>
      </c>
    </row>
    <row r="39" spans="1:2" x14ac:dyDescent="0.25">
      <c r="A39">
        <f>(A38*D9)/D6</f>
        <v>4.9209529363445324E-3</v>
      </c>
      <c r="B39" t="s">
        <v>87</v>
      </c>
    </row>
    <row r="40" spans="1:2" x14ac:dyDescent="0.25">
      <c r="A40">
        <f>(A38*D7)/D6</f>
        <v>1.79180580446898</v>
      </c>
      <c r="B40" t="s">
        <v>85</v>
      </c>
    </row>
    <row r="41" spans="1:2" x14ac:dyDescent="0.25">
      <c r="A41">
        <f>(A38*D8)/D6</f>
        <v>2.8107325301120829</v>
      </c>
      <c r="B4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LCI</vt:lpstr>
      <vt:lpstr>GHGRP Landfill Gas Inventory</vt:lpstr>
      <vt:lpstr>Transportation</vt:lpstr>
      <vt:lpstr>Natural gas credit</vt:lpstr>
      <vt:lpstr>Fertilizer credit for compost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2025-11-27T19:58:30Z</dcterms:modified>
</cp:coreProperties>
</file>