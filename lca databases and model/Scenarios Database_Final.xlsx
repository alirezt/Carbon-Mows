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244D31E7-FF66-440F-A62C-C4FB75322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" sheetId="1" r:id="rId1"/>
    <sheet name="2022" sheetId="2" r:id="rId2"/>
    <sheet name="202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F38" i="3"/>
  <c r="F31" i="3"/>
  <c r="F28" i="3"/>
  <c r="F26" i="3"/>
  <c r="E11" i="2"/>
  <c r="A56" i="1"/>
  <c r="F56" i="1"/>
  <c r="F33" i="1"/>
  <c r="E43" i="3"/>
  <c r="E45" i="3" s="1"/>
  <c r="E44" i="3"/>
  <c r="E39" i="3"/>
  <c r="E40" i="3"/>
  <c r="E41" i="3"/>
  <c r="E42" i="3"/>
  <c r="E38" i="3"/>
  <c r="C39" i="3"/>
  <c r="C40" i="3"/>
  <c r="C41" i="3"/>
  <c r="C42" i="3"/>
  <c r="C38" i="3"/>
  <c r="E36" i="3"/>
  <c r="E27" i="3"/>
  <c r="E28" i="3"/>
  <c r="E29" i="3"/>
  <c r="E30" i="3"/>
  <c r="E31" i="3"/>
  <c r="E32" i="3"/>
  <c r="E33" i="3"/>
  <c r="E34" i="3"/>
  <c r="E35" i="3"/>
  <c r="E26" i="3"/>
  <c r="C32" i="3"/>
  <c r="C33" i="3"/>
  <c r="C34" i="3"/>
  <c r="C35" i="3"/>
  <c r="C31" i="3"/>
  <c r="C28" i="3"/>
  <c r="C29" i="3"/>
  <c r="C30" i="3"/>
  <c r="C27" i="3"/>
  <c r="C26" i="3"/>
  <c r="C14" i="3"/>
  <c r="C8" i="3"/>
  <c r="C20" i="3" s="1"/>
  <c r="B8" i="3"/>
  <c r="A11" i="1"/>
  <c r="H9" i="2"/>
  <c r="C23" i="2"/>
  <c r="E23" i="2" s="1"/>
  <c r="C8" i="2"/>
  <c r="C22" i="2" s="1"/>
  <c r="E22" i="2" s="1"/>
  <c r="B8" i="2"/>
  <c r="C16" i="2" s="1"/>
  <c r="B2" i="2"/>
  <c r="H11" i="2" s="1"/>
  <c r="J11" i="2" s="1"/>
  <c r="F11" i="1"/>
  <c r="B2" i="3" l="1"/>
  <c r="C22" i="3"/>
  <c r="E22" i="3" s="1"/>
  <c r="C23" i="3"/>
  <c r="E23" i="3" s="1"/>
  <c r="E20" i="3"/>
  <c r="C15" i="3"/>
  <c r="E15" i="3" s="1"/>
  <c r="C16" i="3"/>
  <c r="E16" i="3" s="1"/>
  <c r="C17" i="3"/>
  <c r="E17" i="3" s="1"/>
  <c r="C18" i="3"/>
  <c r="E18" i="3" s="1"/>
  <c r="C21" i="3"/>
  <c r="E21" i="3" s="1"/>
  <c r="C19" i="3"/>
  <c r="E19" i="3" s="1"/>
  <c r="C14" i="2"/>
  <c r="J6" i="2"/>
  <c r="J7" i="2"/>
  <c r="C19" i="2"/>
  <c r="E19" i="2" s="1"/>
  <c r="C17" i="2"/>
  <c r="E17" i="2" s="1"/>
  <c r="C18" i="2"/>
  <c r="E18" i="2" s="1"/>
  <c r="J8" i="2"/>
  <c r="E16" i="2"/>
  <c r="C15" i="2"/>
  <c r="E15" i="2" s="1"/>
  <c r="H10" i="2"/>
  <c r="J10" i="2" s="1"/>
  <c r="C20" i="2"/>
  <c r="E20" i="2" s="1"/>
  <c r="C21" i="2"/>
  <c r="E21" i="2" s="1"/>
  <c r="E14" i="3" l="1"/>
  <c r="C24" i="3"/>
  <c r="E24" i="3" s="1"/>
  <c r="E14" i="2"/>
  <c r="C24" i="2"/>
  <c r="E24" i="2" s="1"/>
  <c r="J9" i="2"/>
</calcChain>
</file>

<file path=xl/sharedStrings.xml><?xml version="1.0" encoding="utf-8"?>
<sst xmlns="http://schemas.openxmlformats.org/spreadsheetml/2006/main" count="377" uniqueCount="77">
  <si>
    <t>Database</t>
  </si>
  <si>
    <t>Scenarios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</si>
  <si>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</si>
  <si>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</si>
  <si>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</si>
  <si>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</si>
  <si>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</si>
  <si>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</si>
  <si>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</si>
  <si>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</si>
  <si>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</si>
  <si>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</si>
  <si>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</si>
  <si>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</si>
  <si>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</si>
  <si>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</si>
  <si>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</si>
  <si>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</si>
  <si>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</si>
  <si>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</si>
  <si>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OWM Facilities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</si>
  <si>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</si>
  <si>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</si>
  <si>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</si>
  <si>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</si>
  <si>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</si>
  <si>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</si>
  <si>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</si>
  <si>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</si>
  <si>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</si>
  <si>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</si>
  <si>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</si>
  <si>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Unit</t>
  </si>
  <si>
    <t>Total Organic Waste Generation</t>
  </si>
  <si>
    <t>t</t>
  </si>
  <si>
    <t>Assume</t>
  </si>
  <si>
    <t>Scope</t>
  </si>
  <si>
    <t>Island of Montreal</t>
  </si>
  <si>
    <t xml:space="preserve">new facilities operate at capacity, </t>
  </si>
  <si>
    <t>remaining waste is sent proportionally to remaining facilities</t>
  </si>
  <si>
    <t>Landfilled</t>
  </si>
  <si>
    <t>Composted</t>
  </si>
  <si>
    <t>Units</t>
  </si>
  <si>
    <t>Facility</t>
  </si>
  <si>
    <t>Percent of total organic waste</t>
  </si>
  <si>
    <t>Total Waste</t>
  </si>
  <si>
    <t>% Organic</t>
  </si>
  <si>
    <t>AD</t>
  </si>
  <si>
    <t>Total Organic</t>
  </si>
  <si>
    <t>total</t>
  </si>
  <si>
    <t>remaining S3</t>
  </si>
  <si>
    <t>remaining S2</t>
  </si>
  <si>
    <t>S1 Production Mix</t>
  </si>
  <si>
    <t>BAU 2022</t>
  </si>
  <si>
    <t>S3 Production Mix</t>
  </si>
  <si>
    <t>% of waste received</t>
  </si>
  <si>
    <t>amount of organics received</t>
  </si>
  <si>
    <t>% of total</t>
  </si>
  <si>
    <t>S2 Production Mix</t>
  </si>
  <si>
    <t>*doesn’t mass balance…</t>
  </si>
  <si>
    <t>2022 waste diversion</t>
  </si>
  <si>
    <t>Landfill_drummonville</t>
  </si>
  <si>
    <t xml:space="preserve">total </t>
  </si>
  <si>
    <t>S2_2024</t>
  </si>
  <si>
    <t>Landfill_cecile_de_milton_HOC</t>
  </si>
  <si>
    <t>Landfill_st-nicephore_HOC</t>
  </si>
  <si>
    <t>Landfill_lachute_HOC</t>
  </si>
  <si>
    <t>Landfill_saint sophie_HOC</t>
  </si>
  <si>
    <t>Landfill_terrebonne_HOC</t>
  </si>
  <si>
    <t>Landfill_saint_thomas_HOC</t>
  </si>
  <si>
    <t>S1_2022</t>
  </si>
  <si>
    <t xml:space="preserve">AD_city </t>
  </si>
  <si>
    <t>S3_future ideal</t>
  </si>
  <si>
    <t>Closed_composter_city_final</t>
  </si>
  <si>
    <t>2024 waste diversion</t>
  </si>
  <si>
    <t>2024 report</t>
  </si>
  <si>
    <t>2024 report, plus planned AD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</si>
</sst>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%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2" applyFont="1"/>
    <xf numFmtId="166" fontId="0" fillId="0" borderId="0" xfId="2" applyNumberFormat="1" applyFont="1"/>
    <xf numFmtId="167" fontId="0" fillId="0" borderId="0" xfId="0" applyNumberFormat="1"/>
    <xf numFmtId="2" fontId="0" fillId="0" borderId="0" xfId="2" applyNumberFormat="1" applyFont="1"/>
  </cellXfs>
  <cellStyles count="3">
    <cellStyle name="Normal" xfId="0" builtinId="0"/>
    <cellStyle name="Normal 2" xfId="1" xr:uid="{F04C7FDA-6797-4803-802F-12311DFE4D6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34" workbookViewId="0">
      <selection activeCell="J37" sqref="J37"/>
    </sheetView>
  </sheetViews>
  <sheetFormatPr defaultRowHeight="15" x14ac:dyDescent="0.25"/>
  <cols>
    <col min="1" max="1" width="36.140625" customWidth="1"/>
    <col min="6" max="6" width="20.140625" customWidth="1"/>
  </cols>
  <sheetData>
    <row r="1" spans="1:9" x14ac:dyDescent="0.25">
      <c r="A1" s="1" t="s">
        <v>0</v>
      </c>
      <c r="B1" s="2" t="s">
        <v>1</v>
      </c>
    </row>
    <row r="3" spans="1:9" x14ac:dyDescent="0.25">
      <c r="A3" s="1" t="s">
        <v>2</v>
      </c>
      <c r="B3" s="2" t="s">
        <v>70</v>
      </c>
      <c r="C3" s="2"/>
      <c r="D3" s="2"/>
      <c r="E3" s="2"/>
      <c r="F3" s="2"/>
      <c r="G3" s="2"/>
      <c r="H3" s="2"/>
      <c r="I3" s="2"/>
    </row>
    <row r="4" spans="1:9" x14ac:dyDescent="0.25">
      <c r="A4" s="3" t="s">
        <v>3</v>
      </c>
      <c r="B4" t="s">
        <v>4</v>
      </c>
    </row>
    <row r="5" spans="1:9" x14ac:dyDescent="0.25">
      <c r="A5" s="4" t="s">
        <v>5</v>
      </c>
      <c r="B5" s="5" t="s">
        <v>6</v>
      </c>
      <c r="C5" s="5"/>
      <c r="D5" s="5"/>
      <c r="E5" s="5"/>
      <c r="F5" s="5"/>
      <c r="G5" s="5"/>
      <c r="H5" s="5"/>
      <c r="I5" s="5"/>
    </row>
    <row r="6" spans="1:9" x14ac:dyDescent="0.25">
      <c r="A6" s="4" t="s">
        <v>7</v>
      </c>
      <c r="B6" s="6">
        <v>1</v>
      </c>
      <c r="C6" s="5"/>
      <c r="D6" s="5"/>
      <c r="E6" s="5"/>
      <c r="F6" s="5"/>
      <c r="G6" s="5"/>
      <c r="H6" s="5"/>
      <c r="I6" s="5"/>
    </row>
    <row r="7" spans="1:9" x14ac:dyDescent="0.25">
      <c r="A7" s="4" t="s">
        <v>8</v>
      </c>
      <c r="B7" s="7" t="s">
        <v>9</v>
      </c>
      <c r="C7" s="5"/>
      <c r="D7" s="5"/>
      <c r="E7" s="5"/>
      <c r="F7" s="5"/>
      <c r="G7" s="5"/>
      <c r="H7" s="5"/>
      <c r="I7" s="5"/>
    </row>
    <row r="9" spans="1:9" x14ac:dyDescent="0.25">
      <c r="A9" s="3" t="s">
        <v>10</v>
      </c>
    </row>
    <row r="10" spans="1:9" x14ac:dyDescent="0.25">
      <c r="A10" s="3" t="s">
        <v>11</v>
      </c>
      <c r="B10" s="3" t="s">
        <v>12</v>
      </c>
      <c r="C10" s="3" t="s">
        <v>8</v>
      </c>
      <c r="D10" s="8" t="s">
        <v>13</v>
      </c>
      <c r="E10" s="3" t="s">
        <v>5</v>
      </c>
      <c r="F10" s="3" t="s">
        <v>14</v>
      </c>
      <c r="G10" s="3" t="s">
        <v>15</v>
      </c>
      <c r="H10" s="3" t="s">
        <v>16</v>
      </c>
      <c r="I10" t="s">
        <v>3</v>
      </c>
    </row>
    <row r="11" spans="1:9" x14ac:dyDescent="0.25">
      <c r="A11" t="str">
        <f>B3</f>
        <v>S1_2022</v>
      </c>
      <c r="B11" t="s">
        <v>17</v>
      </c>
      <c r="C11" s="7" t="s">
        <v>9</v>
      </c>
      <c r="D11">
        <v>1</v>
      </c>
      <c r="E11" t="s">
        <v>6</v>
      </c>
      <c r="F11" t="str">
        <f>$B$1</f>
        <v>Scenarios</v>
      </c>
      <c r="G11" t="s">
        <v>18</v>
      </c>
      <c r="H11" s="3"/>
    </row>
    <row r="12" spans="1:9" x14ac:dyDescent="0.25">
      <c r="A12" t="s">
        <v>67</v>
      </c>
      <c r="B12" t="s">
        <v>17</v>
      </c>
      <c r="C12" s="7" t="s">
        <v>9</v>
      </c>
      <c r="D12" s="9">
        <v>0.12406233077303427</v>
      </c>
      <c r="E12" t="s">
        <v>6</v>
      </c>
      <c r="F12" t="s">
        <v>20</v>
      </c>
      <c r="G12" t="s">
        <v>21</v>
      </c>
      <c r="H12" s="3"/>
    </row>
    <row r="13" spans="1:9" x14ac:dyDescent="0.25">
      <c r="A13" t="s">
        <v>68</v>
      </c>
      <c r="B13" t="s">
        <v>17</v>
      </c>
      <c r="C13" s="7" t="s">
        <v>9</v>
      </c>
      <c r="D13" s="9">
        <v>0.2089470834072156</v>
      </c>
      <c r="E13" t="s">
        <v>6</v>
      </c>
      <c r="F13" t="s">
        <v>20</v>
      </c>
      <c r="G13" t="s">
        <v>21</v>
      </c>
      <c r="H13" s="3"/>
    </row>
    <row r="14" spans="1:9" x14ac:dyDescent="0.25">
      <c r="A14" t="s">
        <v>69</v>
      </c>
      <c r="B14" t="s">
        <v>17</v>
      </c>
      <c r="C14" s="7" t="s">
        <v>9</v>
      </c>
      <c r="D14" s="9">
        <v>0.24812466154606855</v>
      </c>
      <c r="E14" t="s">
        <v>6</v>
      </c>
      <c r="F14" t="s">
        <v>20</v>
      </c>
      <c r="G14" t="s">
        <v>21</v>
      </c>
      <c r="H14" s="3"/>
    </row>
    <row r="15" spans="1:9" x14ac:dyDescent="0.25">
      <c r="A15" t="s">
        <v>66</v>
      </c>
      <c r="B15" t="s">
        <v>17</v>
      </c>
      <c r="C15" s="7" t="s">
        <v>9</v>
      </c>
      <c r="D15" s="9">
        <v>2.611838542590195E-2</v>
      </c>
      <c r="E15" t="s">
        <v>6</v>
      </c>
      <c r="F15" t="s">
        <v>20</v>
      </c>
      <c r="G15" t="s">
        <v>21</v>
      </c>
      <c r="H15" s="3"/>
    </row>
    <row r="16" spans="1:9" x14ac:dyDescent="0.25">
      <c r="A16" t="s">
        <v>65</v>
      </c>
      <c r="B16" t="s">
        <v>17</v>
      </c>
      <c r="C16" s="7" t="s">
        <v>9</v>
      </c>
      <c r="D16" s="9">
        <v>1.958878906942646E-2</v>
      </c>
      <c r="E16" t="s">
        <v>6</v>
      </c>
      <c r="F16" t="s">
        <v>20</v>
      </c>
      <c r="G16" t="s">
        <v>21</v>
      </c>
      <c r="H16" s="3"/>
    </row>
    <row r="17" spans="1:9" x14ac:dyDescent="0.25">
      <c r="A17" t="s">
        <v>64</v>
      </c>
      <c r="B17" t="s">
        <v>17</v>
      </c>
      <c r="C17" s="7" t="s">
        <v>9</v>
      </c>
      <c r="D17" s="9">
        <v>2.611838542590195E-2</v>
      </c>
      <c r="E17" t="s">
        <v>6</v>
      </c>
      <c r="F17" t="s">
        <v>20</v>
      </c>
      <c r="G17" t="s">
        <v>21</v>
      </c>
      <c r="H17" s="3"/>
    </row>
    <row r="18" spans="1:9" x14ac:dyDescent="0.25">
      <c r="A18" t="s">
        <v>27</v>
      </c>
      <c r="B18" t="s">
        <v>17</v>
      </c>
      <c r="C18" s="7" t="s">
        <v>9</v>
      </c>
      <c r="D18" s="9">
        <v>7.6348880157539281E-2</v>
      </c>
      <c r="E18" t="s">
        <v>6</v>
      </c>
      <c r="F18" t="s">
        <v>20</v>
      </c>
      <c r="G18" t="s">
        <v>21</v>
      </c>
      <c r="H18" s="3"/>
    </row>
    <row r="19" spans="1:9" x14ac:dyDescent="0.25">
      <c r="A19" t="s">
        <v>28</v>
      </c>
      <c r="B19" t="s">
        <v>17</v>
      </c>
      <c r="C19" s="7" t="s">
        <v>9</v>
      </c>
      <c r="D19" s="9">
        <v>6.5937669226965742E-2</v>
      </c>
      <c r="E19" t="s">
        <v>6</v>
      </c>
      <c r="F19" t="s">
        <v>20</v>
      </c>
      <c r="G19" t="s">
        <v>21</v>
      </c>
      <c r="H19" s="3"/>
    </row>
    <row r="20" spans="1:9" x14ac:dyDescent="0.25">
      <c r="A20" t="s">
        <v>29</v>
      </c>
      <c r="B20" t="s">
        <v>17</v>
      </c>
      <c r="C20" s="7" t="s">
        <v>9</v>
      </c>
      <c r="D20" s="9">
        <v>4.858565100934318E-2</v>
      </c>
      <c r="E20" t="s">
        <v>6</v>
      </c>
      <c r="F20" t="s">
        <v>20</v>
      </c>
      <c r="G20" t="s">
        <v>21</v>
      </c>
      <c r="H20" s="3"/>
    </row>
    <row r="21" spans="1:9" x14ac:dyDescent="0.25">
      <c r="A21" t="s">
        <v>30</v>
      </c>
      <c r="B21" t="s">
        <v>17</v>
      </c>
      <c r="C21" s="7" t="s">
        <v>9</v>
      </c>
      <c r="D21" s="9">
        <v>0.15616816395860308</v>
      </c>
      <c r="E21" t="s">
        <v>6</v>
      </c>
      <c r="F21" t="s">
        <v>20</v>
      </c>
      <c r="G21" t="s">
        <v>21</v>
      </c>
      <c r="H21" s="3"/>
    </row>
    <row r="22" spans="1:9" x14ac:dyDescent="0.25">
      <c r="C22" s="3"/>
      <c r="D22" s="8"/>
      <c r="E22" s="3"/>
      <c r="F22" s="3"/>
      <c r="G22" s="3"/>
      <c r="H22" s="3"/>
    </row>
    <row r="23" spans="1:9" x14ac:dyDescent="0.25">
      <c r="C23" s="3"/>
      <c r="D23" s="8"/>
      <c r="E23" s="3"/>
      <c r="F23" s="3"/>
      <c r="G23" s="3"/>
      <c r="H23" s="3"/>
    </row>
    <row r="24" spans="1:9" x14ac:dyDescent="0.25">
      <c r="D24" s="9"/>
    </row>
    <row r="25" spans="1:9" x14ac:dyDescent="0.25">
      <c r="A25" s="1" t="s">
        <v>2</v>
      </c>
      <c r="B25" s="2" t="s">
        <v>63</v>
      </c>
      <c r="C25" s="2"/>
      <c r="D25" s="2"/>
      <c r="E25" s="2"/>
      <c r="F25" s="2"/>
      <c r="G25" s="2"/>
      <c r="H25" s="2"/>
      <c r="I25" s="2"/>
    </row>
    <row r="26" spans="1:9" x14ac:dyDescent="0.25">
      <c r="A26" s="3" t="s">
        <v>3</v>
      </c>
      <c r="B26" t="s">
        <v>75</v>
      </c>
    </row>
    <row r="27" spans="1:9" x14ac:dyDescent="0.25">
      <c r="A27" s="4" t="s">
        <v>5</v>
      </c>
      <c r="B27" s="5" t="s">
        <v>6</v>
      </c>
    </row>
    <row r="28" spans="1:9" x14ac:dyDescent="0.25">
      <c r="A28" s="4" t="s">
        <v>7</v>
      </c>
      <c r="B28" s="6">
        <v>1</v>
      </c>
    </row>
    <row r="29" spans="1:9" x14ac:dyDescent="0.25">
      <c r="A29" s="4" t="s">
        <v>8</v>
      </c>
      <c r="B29" s="7" t="s">
        <v>9</v>
      </c>
    </row>
    <row r="31" spans="1:9" x14ac:dyDescent="0.25">
      <c r="A31" s="3" t="s">
        <v>10</v>
      </c>
    </row>
    <row r="32" spans="1:9" x14ac:dyDescent="0.25">
      <c r="A32" s="3" t="s">
        <v>11</v>
      </c>
      <c r="B32" s="3" t="s">
        <v>12</v>
      </c>
      <c r="C32" s="3" t="s">
        <v>8</v>
      </c>
      <c r="D32" s="8" t="s">
        <v>13</v>
      </c>
      <c r="E32" s="3" t="s">
        <v>5</v>
      </c>
      <c r="F32" s="3" t="s">
        <v>14</v>
      </c>
      <c r="G32" s="3" t="s">
        <v>15</v>
      </c>
      <c r="H32" s="3" t="s">
        <v>16</v>
      </c>
      <c r="I32" t="s">
        <v>3</v>
      </c>
    </row>
    <row r="33" spans="1:9" x14ac:dyDescent="0.25">
      <c r="A33" t="s">
        <v>63</v>
      </c>
      <c r="B33" t="s">
        <v>17</v>
      </c>
      <c r="C33" t="s">
        <v>9</v>
      </c>
      <c r="D33" s="19">
        <v>1</v>
      </c>
      <c r="E33" t="s">
        <v>6</v>
      </c>
      <c r="F33" t="str">
        <f>$B$1</f>
        <v>Scenarios</v>
      </c>
      <c r="G33" t="s">
        <v>18</v>
      </c>
      <c r="H33" s="3"/>
    </row>
    <row r="34" spans="1:9" x14ac:dyDescent="0.25">
      <c r="A34" t="s">
        <v>67</v>
      </c>
      <c r="B34" t="s">
        <v>17</v>
      </c>
      <c r="C34" t="s">
        <v>9</v>
      </c>
      <c r="D34" s="19">
        <v>0.16926173143633683</v>
      </c>
      <c r="E34" t="s">
        <v>6</v>
      </c>
      <c r="F34" t="s">
        <v>20</v>
      </c>
      <c r="G34" t="s">
        <v>21</v>
      </c>
    </row>
    <row r="35" spans="1:9" x14ac:dyDescent="0.25">
      <c r="A35" t="s">
        <v>68</v>
      </c>
      <c r="B35" t="s">
        <v>17</v>
      </c>
      <c r="C35" t="s">
        <v>9</v>
      </c>
      <c r="D35" s="19">
        <v>0.17530679327334883</v>
      </c>
      <c r="E35" t="s">
        <v>6</v>
      </c>
      <c r="F35" t="s">
        <v>20</v>
      </c>
      <c r="G35" t="s">
        <v>21</v>
      </c>
    </row>
    <row r="36" spans="1:9" x14ac:dyDescent="0.25">
      <c r="A36" t="s">
        <v>65</v>
      </c>
      <c r="B36" t="s">
        <v>17</v>
      </c>
      <c r="C36" t="s">
        <v>9</v>
      </c>
      <c r="D36" s="19">
        <v>6.0450618370120291E-3</v>
      </c>
      <c r="E36" t="s">
        <v>6</v>
      </c>
      <c r="F36" t="s">
        <v>20</v>
      </c>
      <c r="G36" t="s">
        <v>21</v>
      </c>
    </row>
    <row r="37" spans="1:9" x14ac:dyDescent="0.25">
      <c r="A37" t="s">
        <v>64</v>
      </c>
      <c r="B37" t="s">
        <v>17</v>
      </c>
      <c r="C37" t="s">
        <v>9</v>
      </c>
      <c r="D37" s="19">
        <v>1.8135185511036087E-2</v>
      </c>
      <c r="E37" t="s">
        <v>6</v>
      </c>
      <c r="F37" t="s">
        <v>20</v>
      </c>
      <c r="G37" t="s">
        <v>21</v>
      </c>
    </row>
    <row r="38" spans="1:9" x14ac:dyDescent="0.25">
      <c r="A38" t="s">
        <v>69</v>
      </c>
      <c r="B38" t="s">
        <v>17</v>
      </c>
      <c r="C38" t="s">
        <v>9</v>
      </c>
      <c r="D38" s="19">
        <v>0.22971234980645711</v>
      </c>
      <c r="E38" t="s">
        <v>6</v>
      </c>
      <c r="F38" t="s">
        <v>20</v>
      </c>
      <c r="G38" t="s">
        <v>21</v>
      </c>
    </row>
    <row r="39" spans="1:9" x14ac:dyDescent="0.25">
      <c r="A39" t="s">
        <v>27</v>
      </c>
      <c r="B39" t="s">
        <v>17</v>
      </c>
      <c r="C39" t="s">
        <v>9</v>
      </c>
      <c r="D39" s="19">
        <v>3.1639505303903762E-2</v>
      </c>
      <c r="E39" t="s">
        <v>6</v>
      </c>
      <c r="F39" t="s">
        <v>20</v>
      </c>
      <c r="G39" t="s">
        <v>21</v>
      </c>
    </row>
    <row r="40" spans="1:9" x14ac:dyDescent="0.25">
      <c r="A40" t="s">
        <v>28</v>
      </c>
      <c r="B40" t="s">
        <v>17</v>
      </c>
      <c r="C40" t="s">
        <v>9</v>
      </c>
      <c r="D40" s="19">
        <v>6.7233948770795499E-2</v>
      </c>
      <c r="E40" t="s">
        <v>6</v>
      </c>
      <c r="F40" t="s">
        <v>20</v>
      </c>
      <c r="G40" t="s">
        <v>21</v>
      </c>
    </row>
    <row r="41" spans="1:9" x14ac:dyDescent="0.25">
      <c r="A41" t="s">
        <v>29</v>
      </c>
      <c r="B41" t="s">
        <v>17</v>
      </c>
      <c r="C41" t="s">
        <v>9</v>
      </c>
      <c r="D41" s="19">
        <v>5.9324072444819555E-2</v>
      </c>
      <c r="E41" t="s">
        <v>6</v>
      </c>
      <c r="F41" t="s">
        <v>20</v>
      </c>
      <c r="G41" t="s">
        <v>21</v>
      </c>
    </row>
    <row r="42" spans="1:9" x14ac:dyDescent="0.25">
      <c r="A42" t="s">
        <v>30</v>
      </c>
      <c r="B42" t="s">
        <v>17</v>
      </c>
      <c r="C42" t="s">
        <v>9</v>
      </c>
      <c r="D42" s="19">
        <v>0.15028765019354287</v>
      </c>
      <c r="E42" t="s">
        <v>6</v>
      </c>
      <c r="F42" t="s">
        <v>20</v>
      </c>
      <c r="G42" t="s">
        <v>21</v>
      </c>
    </row>
    <row r="43" spans="1:9" x14ac:dyDescent="0.25">
      <c r="A43" t="s">
        <v>73</v>
      </c>
      <c r="B43" t="s">
        <v>17</v>
      </c>
      <c r="C43" t="s">
        <v>9</v>
      </c>
      <c r="D43" s="19">
        <v>8.7008639585735348E-2</v>
      </c>
      <c r="E43" t="s">
        <v>6</v>
      </c>
      <c r="F43" t="s">
        <v>20</v>
      </c>
      <c r="G43" t="s">
        <v>21</v>
      </c>
    </row>
    <row r="48" spans="1:9" x14ac:dyDescent="0.25">
      <c r="A48" s="1" t="s">
        <v>2</v>
      </c>
      <c r="B48" s="2" t="s">
        <v>72</v>
      </c>
      <c r="C48" s="2"/>
      <c r="D48" s="2"/>
      <c r="E48" s="2"/>
      <c r="F48" s="2"/>
      <c r="G48" s="2"/>
      <c r="H48" s="2"/>
      <c r="I48" s="2"/>
    </row>
    <row r="49" spans="1:9" x14ac:dyDescent="0.25">
      <c r="A49" s="3" t="s">
        <v>3</v>
      </c>
      <c r="B49" t="s">
        <v>76</v>
      </c>
    </row>
    <row r="50" spans="1:9" x14ac:dyDescent="0.25">
      <c r="A50" s="4" t="s">
        <v>5</v>
      </c>
      <c r="B50" s="5" t="s">
        <v>6</v>
      </c>
    </row>
    <row r="51" spans="1:9" x14ac:dyDescent="0.25">
      <c r="A51" s="4" t="s">
        <v>7</v>
      </c>
      <c r="B51" s="6">
        <v>1</v>
      </c>
    </row>
    <row r="52" spans="1:9" x14ac:dyDescent="0.25">
      <c r="A52" s="4" t="s">
        <v>8</v>
      </c>
      <c r="B52" s="7" t="s">
        <v>9</v>
      </c>
    </row>
    <row r="54" spans="1:9" x14ac:dyDescent="0.25">
      <c r="A54" s="3" t="s">
        <v>10</v>
      </c>
    </row>
    <row r="55" spans="1:9" x14ac:dyDescent="0.25">
      <c r="A55" s="3" t="s">
        <v>11</v>
      </c>
      <c r="B55" s="3" t="s">
        <v>12</v>
      </c>
      <c r="C55" s="3" t="s">
        <v>8</v>
      </c>
      <c r="D55" s="8" t="s">
        <v>13</v>
      </c>
      <c r="E55" s="3" t="s">
        <v>5</v>
      </c>
      <c r="F55" s="3" t="s">
        <v>14</v>
      </c>
      <c r="G55" s="3" t="s">
        <v>15</v>
      </c>
      <c r="H55" s="3" t="s">
        <v>16</v>
      </c>
      <c r="I55" t="s">
        <v>3</v>
      </c>
    </row>
    <row r="56" spans="1:9" x14ac:dyDescent="0.25">
      <c r="A56" t="str">
        <f>B48</f>
        <v>S3_future ideal</v>
      </c>
      <c r="B56" t="s">
        <v>17</v>
      </c>
      <c r="C56" t="s">
        <v>9</v>
      </c>
      <c r="D56" s="9">
        <v>1</v>
      </c>
      <c r="E56" t="s">
        <v>6</v>
      </c>
      <c r="F56" t="str">
        <f>$B$1</f>
        <v>Scenarios</v>
      </c>
      <c r="G56" t="s">
        <v>18</v>
      </c>
      <c r="H56" s="3"/>
    </row>
    <row r="57" spans="1:9" x14ac:dyDescent="0.25">
      <c r="A57" t="s">
        <v>67</v>
      </c>
      <c r="B57" t="s">
        <v>17</v>
      </c>
      <c r="C57" t="s">
        <v>9</v>
      </c>
      <c r="D57" s="19">
        <v>0.16926173143633683</v>
      </c>
      <c r="E57" t="s">
        <v>6</v>
      </c>
      <c r="F57" t="s">
        <v>20</v>
      </c>
      <c r="G57" t="s">
        <v>21</v>
      </c>
    </row>
    <row r="58" spans="1:9" x14ac:dyDescent="0.25">
      <c r="A58" t="s">
        <v>68</v>
      </c>
      <c r="B58" t="s">
        <v>17</v>
      </c>
      <c r="C58" t="s">
        <v>9</v>
      </c>
      <c r="D58" s="19">
        <v>0.17530679327334883</v>
      </c>
      <c r="E58" t="s">
        <v>6</v>
      </c>
      <c r="F58" t="s">
        <v>20</v>
      </c>
      <c r="G58" t="s">
        <v>21</v>
      </c>
    </row>
    <row r="59" spans="1:9" x14ac:dyDescent="0.25">
      <c r="A59" t="s">
        <v>65</v>
      </c>
      <c r="B59" t="s">
        <v>17</v>
      </c>
      <c r="C59" t="s">
        <v>9</v>
      </c>
      <c r="D59" s="19">
        <v>6.0450618370120291E-3</v>
      </c>
      <c r="E59" t="s">
        <v>6</v>
      </c>
      <c r="F59" t="s">
        <v>20</v>
      </c>
      <c r="G59" t="s">
        <v>21</v>
      </c>
    </row>
    <row r="60" spans="1:9" x14ac:dyDescent="0.25">
      <c r="A60" t="s">
        <v>64</v>
      </c>
      <c r="B60" t="s">
        <v>17</v>
      </c>
      <c r="C60" t="s">
        <v>9</v>
      </c>
      <c r="D60" s="19">
        <v>1.8135185511036087E-2</v>
      </c>
      <c r="E60" t="s">
        <v>6</v>
      </c>
      <c r="F60" t="s">
        <v>20</v>
      </c>
      <c r="G60" t="s">
        <v>21</v>
      </c>
    </row>
    <row r="61" spans="1:9" x14ac:dyDescent="0.25">
      <c r="A61" t="s">
        <v>69</v>
      </c>
      <c r="B61" t="s">
        <v>17</v>
      </c>
      <c r="C61" t="s">
        <v>9</v>
      </c>
      <c r="D61" s="19">
        <v>0.22971234980645711</v>
      </c>
      <c r="E61" t="s">
        <v>6</v>
      </c>
      <c r="F61" t="s">
        <v>20</v>
      </c>
      <c r="G61" t="s">
        <v>21</v>
      </c>
    </row>
    <row r="62" spans="1:9" x14ac:dyDescent="0.25">
      <c r="A62" t="s">
        <v>73</v>
      </c>
      <c r="B62" t="s">
        <v>17</v>
      </c>
      <c r="C62" t="s">
        <v>9</v>
      </c>
      <c r="D62" s="19">
        <v>0.17929436265175072</v>
      </c>
      <c r="E62" t="s">
        <v>6</v>
      </c>
      <c r="F62" t="s">
        <v>20</v>
      </c>
      <c r="G62" t="s">
        <v>21</v>
      </c>
    </row>
    <row r="63" spans="1:9" x14ac:dyDescent="0.25">
      <c r="A63" t="s">
        <v>71</v>
      </c>
      <c r="B63" t="s">
        <v>17</v>
      </c>
      <c r="C63" t="s">
        <v>9</v>
      </c>
      <c r="D63" s="19">
        <v>0.21515323518210086</v>
      </c>
      <c r="E63" t="s">
        <v>6</v>
      </c>
      <c r="F63" t="s">
        <v>20</v>
      </c>
      <c r="G63" t="s">
        <v>21</v>
      </c>
    </row>
    <row r="67" spans="1:8" x14ac:dyDescent="0.25">
      <c r="A67" s="3"/>
    </row>
    <row r="68" spans="1:8" x14ac:dyDescent="0.25">
      <c r="A68" s="3"/>
    </row>
    <row r="69" spans="1:8" x14ac:dyDescent="0.25">
      <c r="A69" s="4"/>
      <c r="B69" s="5"/>
    </row>
    <row r="70" spans="1:8" x14ac:dyDescent="0.25">
      <c r="A70" s="4"/>
      <c r="B70" s="6"/>
    </row>
    <row r="71" spans="1:8" x14ac:dyDescent="0.25">
      <c r="A71" s="4"/>
      <c r="B71" s="7"/>
    </row>
    <row r="73" spans="1:8" x14ac:dyDescent="0.25">
      <c r="A73" s="3"/>
    </row>
    <row r="74" spans="1:8" x14ac:dyDescent="0.25">
      <c r="A74" s="3"/>
      <c r="B74" s="3"/>
      <c r="C74" s="3"/>
      <c r="D74" s="8"/>
      <c r="E74" s="3"/>
      <c r="F74" s="3"/>
      <c r="G74" s="3"/>
      <c r="H74" s="3"/>
    </row>
    <row r="75" spans="1:8" x14ac:dyDescent="0.25">
      <c r="C75" s="7"/>
      <c r="H75" s="3"/>
    </row>
    <row r="76" spans="1:8" x14ac:dyDescent="0.25">
      <c r="C76" s="7"/>
      <c r="D76" s="9"/>
      <c r="H76" s="3"/>
    </row>
    <row r="77" spans="1:8" x14ac:dyDescent="0.25">
      <c r="C77" s="7"/>
      <c r="D77" s="9"/>
      <c r="H77" s="3"/>
    </row>
    <row r="78" spans="1:8" x14ac:dyDescent="0.25">
      <c r="C78" s="7"/>
      <c r="D78" s="9"/>
      <c r="H78" s="3"/>
    </row>
    <row r="79" spans="1:8" x14ac:dyDescent="0.25">
      <c r="C79" s="7"/>
      <c r="D79" s="9"/>
      <c r="H79" s="3"/>
    </row>
    <row r="80" spans="1:8" x14ac:dyDescent="0.25">
      <c r="C80" s="7"/>
      <c r="D80" s="9"/>
      <c r="H80" s="3"/>
    </row>
    <row r="81" spans="1:9" x14ac:dyDescent="0.25">
      <c r="C81" s="7"/>
      <c r="D81" s="9"/>
      <c r="H81" s="3"/>
    </row>
    <row r="82" spans="1:9" x14ac:dyDescent="0.25">
      <c r="C82" s="7"/>
      <c r="D82" s="9"/>
      <c r="H82" s="3"/>
    </row>
    <row r="83" spans="1:9" x14ac:dyDescent="0.25">
      <c r="C83" s="7"/>
      <c r="D83" s="9"/>
      <c r="H83" s="3"/>
    </row>
    <row r="84" spans="1:9" x14ac:dyDescent="0.25">
      <c r="C84" s="7"/>
      <c r="D84" s="9"/>
      <c r="H84" s="3"/>
    </row>
    <row r="85" spans="1:9" x14ac:dyDescent="0.25">
      <c r="C85" s="7"/>
      <c r="D85" s="9"/>
      <c r="H85" s="3"/>
    </row>
    <row r="88" spans="1:9" x14ac:dyDescent="0.25">
      <c r="A88" s="1"/>
      <c r="B88" s="2"/>
      <c r="C88" s="1"/>
      <c r="D88" s="2"/>
      <c r="E88" s="2"/>
      <c r="F88" s="2"/>
      <c r="G88" s="2"/>
      <c r="H88" s="2"/>
      <c r="I88" s="2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2C74-CF38-461F-A989-FAD6FABAA9AF}">
  <dimension ref="A1:L41"/>
  <sheetViews>
    <sheetView workbookViewId="0">
      <selection activeCell="G4" sqref="G4"/>
    </sheetView>
  </sheetViews>
  <sheetFormatPr defaultRowHeight="15" x14ac:dyDescent="0.25"/>
  <cols>
    <col min="1" max="1" width="33" customWidth="1"/>
    <col min="3" max="3" width="13.42578125" customWidth="1"/>
    <col min="7" max="7" width="27.42578125" customWidth="1"/>
  </cols>
  <sheetData>
    <row r="1" spans="1:12" x14ac:dyDescent="0.25">
      <c r="A1" s="3" t="s">
        <v>60</v>
      </c>
      <c r="C1" t="s">
        <v>32</v>
      </c>
    </row>
    <row r="2" spans="1:12" x14ac:dyDescent="0.25">
      <c r="A2" t="s">
        <v>33</v>
      </c>
      <c r="B2" s="10">
        <f>B8+C8</f>
        <v>300816.42</v>
      </c>
      <c r="C2" t="s">
        <v>34</v>
      </c>
      <c r="G2" s="11" t="s">
        <v>35</v>
      </c>
    </row>
    <row r="3" spans="1:12" x14ac:dyDescent="0.25">
      <c r="A3" t="s">
        <v>36</v>
      </c>
      <c r="B3" t="s">
        <v>37</v>
      </c>
      <c r="G3" t="s">
        <v>38</v>
      </c>
    </row>
    <row r="4" spans="1:12" x14ac:dyDescent="0.25">
      <c r="G4" t="s">
        <v>39</v>
      </c>
    </row>
    <row r="5" spans="1:12" x14ac:dyDescent="0.25">
      <c r="A5" s="12"/>
      <c r="B5" s="12" t="s">
        <v>40</v>
      </c>
      <c r="C5" s="12" t="s">
        <v>41</v>
      </c>
      <c r="D5" s="12" t="s">
        <v>42</v>
      </c>
      <c r="G5" s="12" t="s">
        <v>43</v>
      </c>
      <c r="H5" s="12"/>
      <c r="I5" s="12" t="s">
        <v>42</v>
      </c>
      <c r="J5" s="12" t="s">
        <v>44</v>
      </c>
      <c r="K5" s="12"/>
      <c r="L5" s="12"/>
    </row>
    <row r="6" spans="1:12" x14ac:dyDescent="0.25">
      <c r="A6" t="s">
        <v>45</v>
      </c>
      <c r="B6">
        <v>467669</v>
      </c>
      <c r="C6">
        <v>434981</v>
      </c>
      <c r="D6" t="s">
        <v>34</v>
      </c>
      <c r="G6" t="s">
        <v>31</v>
      </c>
      <c r="H6">
        <v>50000</v>
      </c>
      <c r="I6" t="s">
        <v>34</v>
      </c>
      <c r="J6" s="9">
        <f>H6/B2</f>
        <v>0.16621433098632049</v>
      </c>
    </row>
    <row r="7" spans="1:12" x14ac:dyDescent="0.25">
      <c r="A7" t="s">
        <v>46</v>
      </c>
      <c r="B7" s="13">
        <v>0.42</v>
      </c>
      <c r="C7" s="13">
        <v>0.24</v>
      </c>
      <c r="G7" t="s">
        <v>47</v>
      </c>
      <c r="H7">
        <v>60000</v>
      </c>
      <c r="I7" t="s">
        <v>34</v>
      </c>
      <c r="J7" s="9">
        <f>H7/B2</f>
        <v>0.19945719718358459</v>
      </c>
    </row>
    <row r="8" spans="1:12" x14ac:dyDescent="0.25">
      <c r="A8" t="s">
        <v>48</v>
      </c>
      <c r="B8" s="10">
        <f>B6*B7</f>
        <v>196420.97999999998</v>
      </c>
      <c r="C8" s="10">
        <f>C6*C7</f>
        <v>104395.44</v>
      </c>
      <c r="D8" t="s">
        <v>34</v>
      </c>
      <c r="G8" t="s">
        <v>27</v>
      </c>
      <c r="H8">
        <v>3000</v>
      </c>
      <c r="I8" t="s">
        <v>34</v>
      </c>
      <c r="J8" s="9">
        <f>H8/B2</f>
        <v>9.9728598591792301E-3</v>
      </c>
    </row>
    <row r="9" spans="1:12" x14ac:dyDescent="0.25">
      <c r="B9" s="10"/>
      <c r="C9" s="10"/>
      <c r="G9" t="s">
        <v>49</v>
      </c>
      <c r="H9">
        <f>SUM(H6:H8)</f>
        <v>113000</v>
      </c>
      <c r="I9" t="s">
        <v>34</v>
      </c>
      <c r="J9" s="9">
        <f>SUM(J6:J7)</f>
        <v>0.36567152816990511</v>
      </c>
    </row>
    <row r="10" spans="1:12" x14ac:dyDescent="0.25">
      <c r="G10" t="s">
        <v>50</v>
      </c>
      <c r="H10" s="10">
        <f>B2-H9</f>
        <v>187816.41999999998</v>
      </c>
      <c r="I10" t="s">
        <v>34</v>
      </c>
      <c r="J10" s="9">
        <f>H10/B2</f>
        <v>0.62435561197091571</v>
      </c>
    </row>
    <row r="11" spans="1:12" x14ac:dyDescent="0.25">
      <c r="E11" s="9">
        <f>SUM(E14:E19)</f>
        <v>0.65295963564754866</v>
      </c>
      <c r="G11" t="s">
        <v>51</v>
      </c>
      <c r="H11" s="10">
        <f>B2-(H6+H8)</f>
        <v>247816.41999999998</v>
      </c>
      <c r="I11" t="s">
        <v>34</v>
      </c>
      <c r="J11">
        <f>H11/B2</f>
        <v>0.82381280915450028</v>
      </c>
    </row>
    <row r="12" spans="1:12" x14ac:dyDescent="0.25">
      <c r="A12" s="3" t="s">
        <v>52</v>
      </c>
      <c r="B12" t="s">
        <v>3</v>
      </c>
      <c r="C12" t="s">
        <v>53</v>
      </c>
      <c r="G12" s="3"/>
    </row>
    <row r="13" spans="1:12" x14ac:dyDescent="0.25">
      <c r="A13" s="12" t="s">
        <v>43</v>
      </c>
      <c r="B13" s="12" t="s">
        <v>55</v>
      </c>
      <c r="C13" s="12" t="s">
        <v>56</v>
      </c>
      <c r="D13" s="12" t="s">
        <v>42</v>
      </c>
      <c r="E13" s="12" t="s">
        <v>57</v>
      </c>
      <c r="G13" s="12"/>
      <c r="H13" s="12"/>
      <c r="I13" s="12"/>
      <c r="J13" s="12"/>
    </row>
    <row r="14" spans="1:12" x14ac:dyDescent="0.25">
      <c r="A14" t="s">
        <v>19</v>
      </c>
      <c r="B14" s="13">
        <v>0.19</v>
      </c>
      <c r="C14" s="10">
        <f>$B$8*B14</f>
        <v>37319.986199999999</v>
      </c>
      <c r="D14" t="s">
        <v>34</v>
      </c>
      <c r="E14" s="9">
        <f>C14/$B$2</f>
        <v>0.12406233077303427</v>
      </c>
      <c r="F14" s="16"/>
      <c r="H14" s="9"/>
    </row>
    <row r="15" spans="1:12" x14ac:dyDescent="0.25">
      <c r="A15" t="s">
        <v>22</v>
      </c>
      <c r="B15" s="13">
        <v>0.32</v>
      </c>
      <c r="C15" s="10">
        <f t="shared" ref="C15:C18" si="0">$B$8*B15</f>
        <v>62854.713599999995</v>
      </c>
      <c r="D15" t="s">
        <v>34</v>
      </c>
      <c r="E15" s="9">
        <f t="shared" ref="E15:E24" si="1">C15/$B$2</f>
        <v>0.2089470834072156</v>
      </c>
      <c r="H15" s="9"/>
    </row>
    <row r="16" spans="1:12" x14ac:dyDescent="0.25">
      <c r="A16" t="s">
        <v>23</v>
      </c>
      <c r="B16" s="13">
        <v>0.38</v>
      </c>
      <c r="C16" s="10">
        <f t="shared" si="0"/>
        <v>74639.972399999999</v>
      </c>
      <c r="D16" t="s">
        <v>34</v>
      </c>
      <c r="E16" s="9">
        <f t="shared" si="1"/>
        <v>0.24812466154606855</v>
      </c>
      <c r="H16" s="9"/>
    </row>
    <row r="17" spans="1:9" x14ac:dyDescent="0.25">
      <c r="A17" t="s">
        <v>24</v>
      </c>
      <c r="B17" s="13">
        <v>0.04</v>
      </c>
      <c r="C17" s="10">
        <f t="shared" si="0"/>
        <v>7856.8391999999994</v>
      </c>
      <c r="D17" t="s">
        <v>34</v>
      </c>
      <c r="E17" s="14">
        <f t="shared" si="1"/>
        <v>2.611838542590195E-2</v>
      </c>
      <c r="F17" s="16"/>
      <c r="H17" s="9"/>
    </row>
    <row r="18" spans="1:9" x14ac:dyDescent="0.25">
      <c r="A18" t="s">
        <v>25</v>
      </c>
      <c r="B18" s="13">
        <v>0.03</v>
      </c>
      <c r="C18" s="10">
        <f t="shared" si="0"/>
        <v>5892.6293999999989</v>
      </c>
      <c r="D18" t="s">
        <v>34</v>
      </c>
      <c r="E18" s="14">
        <f t="shared" si="1"/>
        <v>1.958878906942646E-2</v>
      </c>
      <c r="H18" s="9"/>
    </row>
    <row r="19" spans="1:9" x14ac:dyDescent="0.25">
      <c r="A19" t="s">
        <v>26</v>
      </c>
      <c r="B19" s="13">
        <v>0.04</v>
      </c>
      <c r="C19" s="10">
        <f>$B$8*B19</f>
        <v>7856.8391999999994</v>
      </c>
      <c r="D19" t="s">
        <v>34</v>
      </c>
      <c r="E19" s="14">
        <f t="shared" si="1"/>
        <v>2.611838542590195E-2</v>
      </c>
      <c r="H19" s="9"/>
    </row>
    <row r="20" spans="1:9" x14ac:dyDescent="0.25">
      <c r="A20" t="s">
        <v>27</v>
      </c>
      <c r="B20" s="13">
        <v>0.22</v>
      </c>
      <c r="C20" s="10">
        <f>$C$8*B20</f>
        <v>22966.996800000001</v>
      </c>
      <c r="D20" t="s">
        <v>34</v>
      </c>
      <c r="E20" s="9">
        <f>C20/$B$2</f>
        <v>7.6348880157539281E-2</v>
      </c>
      <c r="F20" s="16"/>
      <c r="H20" s="9"/>
    </row>
    <row r="21" spans="1:9" x14ac:dyDescent="0.25">
      <c r="A21" t="s">
        <v>28</v>
      </c>
      <c r="B21" s="13">
        <v>0.19</v>
      </c>
      <c r="C21" s="10">
        <f t="shared" ref="C21:C22" si="2">$C$8*B21</f>
        <v>19835.133600000001</v>
      </c>
      <c r="D21" t="s">
        <v>34</v>
      </c>
      <c r="E21" s="9">
        <f t="shared" si="1"/>
        <v>6.5937669226965742E-2</v>
      </c>
      <c r="H21" s="9"/>
    </row>
    <row r="22" spans="1:9" x14ac:dyDescent="0.25">
      <c r="A22" t="s">
        <v>29</v>
      </c>
      <c r="B22" s="13">
        <v>0.14000000000000001</v>
      </c>
      <c r="C22" s="10">
        <f t="shared" si="2"/>
        <v>14615.361600000002</v>
      </c>
      <c r="D22" t="s">
        <v>34</v>
      </c>
      <c r="E22" s="9">
        <f t="shared" si="1"/>
        <v>4.858565100934318E-2</v>
      </c>
      <c r="H22" s="9"/>
    </row>
    <row r="23" spans="1:9" x14ac:dyDescent="0.25">
      <c r="A23" t="s">
        <v>30</v>
      </c>
      <c r="B23" s="13">
        <v>0.45</v>
      </c>
      <c r="C23" s="10">
        <f>$C$8*B23</f>
        <v>46977.948000000004</v>
      </c>
      <c r="D23" t="s">
        <v>34</v>
      </c>
      <c r="E23" s="9">
        <f t="shared" si="1"/>
        <v>0.15616816395860308</v>
      </c>
      <c r="H23" s="9"/>
    </row>
    <row r="24" spans="1:9" x14ac:dyDescent="0.25">
      <c r="A24" t="s">
        <v>49</v>
      </c>
      <c r="B24" s="13"/>
      <c r="C24" s="10">
        <f>SUM(C14:C23)</f>
        <v>300816.42</v>
      </c>
      <c r="E24" s="9">
        <f t="shared" si="1"/>
        <v>1</v>
      </c>
      <c r="H24" s="9"/>
    </row>
    <row r="25" spans="1:9" x14ac:dyDescent="0.25">
      <c r="A25" s="3"/>
      <c r="H25" s="9"/>
    </row>
    <row r="26" spans="1:9" x14ac:dyDescent="0.25">
      <c r="B26" s="9"/>
      <c r="H26" s="10"/>
    </row>
    <row r="27" spans="1:9" x14ac:dyDescent="0.25">
      <c r="B27" s="9"/>
    </row>
    <row r="28" spans="1:9" x14ac:dyDescent="0.25">
      <c r="B28" s="9"/>
    </row>
    <row r="29" spans="1:9" x14ac:dyDescent="0.25">
      <c r="B29" s="9"/>
    </row>
    <row r="30" spans="1:9" x14ac:dyDescent="0.25">
      <c r="H30" s="9"/>
    </row>
    <row r="31" spans="1:9" x14ac:dyDescent="0.25">
      <c r="H31" s="15"/>
      <c r="I31" s="15"/>
    </row>
    <row r="32" spans="1:9" x14ac:dyDescent="0.25">
      <c r="H32" s="9"/>
    </row>
    <row r="33" spans="1:8" x14ac:dyDescent="0.25">
      <c r="B33" s="9"/>
      <c r="H33" s="15"/>
    </row>
    <row r="34" spans="1:8" x14ac:dyDescent="0.25">
      <c r="B34" s="9"/>
      <c r="C34" s="10"/>
    </row>
    <row r="35" spans="1:8" x14ac:dyDescent="0.25">
      <c r="A35" s="3"/>
    </row>
    <row r="41" spans="1:8" x14ac:dyDescent="0.25">
      <c r="C4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87CD-53CB-49F1-BB9D-4B077AB18CE5}">
  <dimension ref="A1:F45"/>
  <sheetViews>
    <sheetView workbookViewId="0">
      <selection activeCell="M13" sqref="M13"/>
    </sheetView>
  </sheetViews>
  <sheetFormatPr defaultRowHeight="15" x14ac:dyDescent="0.25"/>
  <cols>
    <col min="1" max="1" width="29.140625" customWidth="1"/>
  </cols>
  <sheetData>
    <row r="1" spans="1:5" x14ac:dyDescent="0.25">
      <c r="A1" s="3" t="s">
        <v>74</v>
      </c>
      <c r="C1" t="s">
        <v>32</v>
      </c>
    </row>
    <row r="2" spans="1:5" x14ac:dyDescent="0.25">
      <c r="A2" t="s">
        <v>33</v>
      </c>
      <c r="B2" s="10">
        <f>B8+C8</f>
        <v>278871.01</v>
      </c>
      <c r="C2" t="s">
        <v>34</v>
      </c>
    </row>
    <row r="3" spans="1:5" x14ac:dyDescent="0.25">
      <c r="A3" t="s">
        <v>36</v>
      </c>
      <c r="B3" t="s">
        <v>37</v>
      </c>
    </row>
    <row r="5" spans="1:5" x14ac:dyDescent="0.25">
      <c r="A5" s="12"/>
      <c r="B5" s="12" t="s">
        <v>40</v>
      </c>
      <c r="C5" s="12" t="s">
        <v>41</v>
      </c>
      <c r="D5" s="12" t="s">
        <v>42</v>
      </c>
    </row>
    <row r="6" spans="1:5" x14ac:dyDescent="0.25">
      <c r="A6" t="s">
        <v>45</v>
      </c>
      <c r="B6">
        <v>481655</v>
      </c>
      <c r="C6">
        <v>459549</v>
      </c>
      <c r="D6" t="s">
        <v>34</v>
      </c>
    </row>
    <row r="7" spans="1:5" x14ac:dyDescent="0.25">
      <c r="A7" t="s">
        <v>46</v>
      </c>
      <c r="B7" s="13">
        <v>0.35</v>
      </c>
      <c r="C7" s="13">
        <v>0.24</v>
      </c>
    </row>
    <row r="8" spans="1:5" x14ac:dyDescent="0.25">
      <c r="A8" t="s">
        <v>48</v>
      </c>
      <c r="B8" s="10">
        <f>B6*B7</f>
        <v>168579.25</v>
      </c>
      <c r="C8" s="10">
        <f>C6*C7</f>
        <v>110291.76</v>
      </c>
      <c r="D8" t="s">
        <v>34</v>
      </c>
    </row>
    <row r="9" spans="1:5" x14ac:dyDescent="0.25">
      <c r="B9" s="10"/>
      <c r="C9" s="10"/>
    </row>
    <row r="12" spans="1:5" x14ac:dyDescent="0.25">
      <c r="A12" s="3" t="s">
        <v>52</v>
      </c>
      <c r="B12" t="s">
        <v>3</v>
      </c>
      <c r="C12" t="s">
        <v>53</v>
      </c>
    </row>
    <row r="13" spans="1:5" x14ac:dyDescent="0.25">
      <c r="A13" s="12" t="s">
        <v>43</v>
      </c>
      <c r="B13" s="12" t="s">
        <v>55</v>
      </c>
      <c r="C13" s="12" t="s">
        <v>56</v>
      </c>
      <c r="D13" s="12" t="s">
        <v>42</v>
      </c>
      <c r="E13" s="12" t="s">
        <v>57</v>
      </c>
    </row>
    <row r="14" spans="1:5" x14ac:dyDescent="0.25">
      <c r="A14" t="s">
        <v>19</v>
      </c>
      <c r="B14" s="13">
        <v>0.19</v>
      </c>
      <c r="C14" s="10">
        <f>$B$8*B14</f>
        <v>32030.057499999999</v>
      </c>
      <c r="D14" t="s">
        <v>34</v>
      </c>
      <c r="E14" s="9">
        <f>C14/$B$2</f>
        <v>0.11485617490322855</v>
      </c>
    </row>
    <row r="15" spans="1:5" x14ac:dyDescent="0.25">
      <c r="A15" t="s">
        <v>22</v>
      </c>
      <c r="B15" s="13">
        <v>0.32</v>
      </c>
      <c r="C15" s="10">
        <f t="shared" ref="C15:C18" si="0">$B$8*B15</f>
        <v>53945.36</v>
      </c>
      <c r="D15" t="s">
        <v>34</v>
      </c>
      <c r="E15" s="9">
        <f t="shared" ref="E15:E24" si="1">C15/$B$2</f>
        <v>0.19344197878438493</v>
      </c>
    </row>
    <row r="16" spans="1:5" x14ac:dyDescent="0.25">
      <c r="A16" t="s">
        <v>23</v>
      </c>
      <c r="B16" s="13">
        <v>0.38</v>
      </c>
      <c r="C16" s="10">
        <f t="shared" si="0"/>
        <v>64060.114999999998</v>
      </c>
      <c r="D16" t="s">
        <v>34</v>
      </c>
      <c r="E16" s="9">
        <f t="shared" si="1"/>
        <v>0.22971234980645711</v>
      </c>
    </row>
    <row r="17" spans="1:6" x14ac:dyDescent="0.25">
      <c r="A17" t="s">
        <v>24</v>
      </c>
      <c r="B17" s="13">
        <v>0.04</v>
      </c>
      <c r="C17" s="10">
        <f t="shared" si="0"/>
        <v>6743.17</v>
      </c>
      <c r="D17" t="s">
        <v>34</v>
      </c>
      <c r="E17" s="14">
        <f t="shared" si="1"/>
        <v>2.4180247348048117E-2</v>
      </c>
    </row>
    <row r="18" spans="1:6" x14ac:dyDescent="0.25">
      <c r="A18" t="s">
        <v>25</v>
      </c>
      <c r="B18" s="13">
        <v>0.03</v>
      </c>
      <c r="C18" s="10">
        <f t="shared" si="0"/>
        <v>5057.3774999999996</v>
      </c>
      <c r="D18" t="s">
        <v>34</v>
      </c>
      <c r="E18" s="14">
        <f t="shared" si="1"/>
        <v>1.8135185511036087E-2</v>
      </c>
    </row>
    <row r="19" spans="1:6" x14ac:dyDescent="0.25">
      <c r="A19" t="s">
        <v>26</v>
      </c>
      <c r="B19" s="13">
        <v>0.04</v>
      </c>
      <c r="C19" s="10">
        <f>$B$8*B19</f>
        <v>6743.17</v>
      </c>
      <c r="D19" t="s">
        <v>34</v>
      </c>
      <c r="E19" s="14">
        <f t="shared" si="1"/>
        <v>2.4180247348048117E-2</v>
      </c>
    </row>
    <row r="20" spans="1:6" x14ac:dyDescent="0.25">
      <c r="A20" t="s">
        <v>27</v>
      </c>
      <c r="B20" s="13">
        <v>0.22</v>
      </c>
      <c r="C20" s="10">
        <f>$C$8*B20</f>
        <v>24264.1872</v>
      </c>
      <c r="D20" t="s">
        <v>34</v>
      </c>
      <c r="E20" s="9">
        <f>C20/$B$2</f>
        <v>8.7008639585735348E-2</v>
      </c>
    </row>
    <row r="21" spans="1:6" x14ac:dyDescent="0.25">
      <c r="A21" t="s">
        <v>28</v>
      </c>
      <c r="B21" s="13">
        <v>0.19</v>
      </c>
      <c r="C21" s="10">
        <f t="shared" ref="C21:C22" si="2">$C$8*B21</f>
        <v>20955.434399999998</v>
      </c>
      <c r="D21" t="s">
        <v>34</v>
      </c>
      <c r="E21" s="9">
        <f t="shared" si="1"/>
        <v>7.5143825096771436E-2</v>
      </c>
    </row>
    <row r="22" spans="1:6" x14ac:dyDescent="0.25">
      <c r="A22" t="s">
        <v>29</v>
      </c>
      <c r="B22" s="13">
        <v>0.14000000000000001</v>
      </c>
      <c r="C22" s="10">
        <f t="shared" si="2"/>
        <v>15440.8464</v>
      </c>
      <c r="D22" t="s">
        <v>34</v>
      </c>
      <c r="E22" s="9">
        <f t="shared" si="1"/>
        <v>5.5369134281831586E-2</v>
      </c>
    </row>
    <row r="23" spans="1:6" x14ac:dyDescent="0.25">
      <c r="A23" t="s">
        <v>30</v>
      </c>
      <c r="B23" s="13">
        <v>0.45</v>
      </c>
      <c r="C23" s="10">
        <f>$C$8*B23</f>
        <v>49631.292000000001</v>
      </c>
      <c r="D23" t="s">
        <v>34</v>
      </c>
      <c r="E23" s="9">
        <f t="shared" si="1"/>
        <v>0.17797221733445867</v>
      </c>
    </row>
    <row r="24" spans="1:6" x14ac:dyDescent="0.25">
      <c r="A24" t="s">
        <v>49</v>
      </c>
      <c r="B24" s="13"/>
      <c r="C24" s="10">
        <f>SUM(C14:C23)</f>
        <v>278871.01000000007</v>
      </c>
      <c r="E24" s="9">
        <f t="shared" si="1"/>
        <v>1.0000000000000002</v>
      </c>
    </row>
    <row r="25" spans="1:6" x14ac:dyDescent="0.25">
      <c r="A25" s="3" t="s">
        <v>58</v>
      </c>
    </row>
    <row r="26" spans="1:6" x14ac:dyDescent="0.25">
      <c r="A26" t="s">
        <v>19</v>
      </c>
      <c r="B26" s="9">
        <v>0.28000000000000003</v>
      </c>
      <c r="C26">
        <f>B26*B8</f>
        <v>47202.19</v>
      </c>
      <c r="D26" t="s">
        <v>34</v>
      </c>
      <c r="E26" s="9">
        <f>C26/$B$2</f>
        <v>0.16926173143633683</v>
      </c>
      <c r="F26" s="17">
        <f>E26+E27+E30</f>
        <v>0.57428087451614274</v>
      </c>
    </row>
    <row r="27" spans="1:6" x14ac:dyDescent="0.25">
      <c r="A27" t="s">
        <v>22</v>
      </c>
      <c r="B27" s="9">
        <v>0.28999999999999998</v>
      </c>
      <c r="C27">
        <f>B27*$B$8</f>
        <v>48887.982499999998</v>
      </c>
      <c r="D27" t="s">
        <v>34</v>
      </c>
      <c r="E27" s="9">
        <f t="shared" ref="E27:E35" si="3">C27/$B$2</f>
        <v>0.17530679327334883</v>
      </c>
      <c r="F27" s="17"/>
    </row>
    <row r="28" spans="1:6" x14ac:dyDescent="0.25">
      <c r="A28" t="s">
        <v>61</v>
      </c>
      <c r="B28" s="9">
        <v>0.01</v>
      </c>
      <c r="C28">
        <f t="shared" ref="C28:C30" si="4">B28*$B$8</f>
        <v>1685.7925</v>
      </c>
      <c r="D28" t="s">
        <v>34</v>
      </c>
      <c r="E28" s="9">
        <f t="shared" si="3"/>
        <v>6.0450618370120291E-3</v>
      </c>
      <c r="F28" s="17">
        <f>E28+E29</f>
        <v>2.4180247348048117E-2</v>
      </c>
    </row>
    <row r="29" spans="1:6" x14ac:dyDescent="0.25">
      <c r="A29" t="s">
        <v>26</v>
      </c>
      <c r="B29" s="9">
        <v>0.03</v>
      </c>
      <c r="C29">
        <f t="shared" si="4"/>
        <v>5057.3774999999996</v>
      </c>
      <c r="D29" t="s">
        <v>34</v>
      </c>
      <c r="E29" s="9">
        <f t="shared" si="3"/>
        <v>1.8135185511036087E-2</v>
      </c>
      <c r="F29" s="17"/>
    </row>
    <row r="30" spans="1:6" x14ac:dyDescent="0.25">
      <c r="A30" t="s">
        <v>23</v>
      </c>
      <c r="B30" s="9">
        <v>0.38</v>
      </c>
      <c r="C30">
        <f t="shared" si="4"/>
        <v>64060.114999999998</v>
      </c>
      <c r="D30" t="s">
        <v>34</v>
      </c>
      <c r="E30" s="9">
        <f t="shared" si="3"/>
        <v>0.22971234980645711</v>
      </c>
      <c r="F30" s="17"/>
    </row>
    <row r="31" spans="1:6" x14ac:dyDescent="0.25">
      <c r="A31" t="s">
        <v>27</v>
      </c>
      <c r="B31" s="9">
        <v>0.08</v>
      </c>
      <c r="C31">
        <f>B31*$C$8</f>
        <v>8823.3407999999999</v>
      </c>
      <c r="D31" t="s">
        <v>34</v>
      </c>
      <c r="E31" s="9">
        <f t="shared" si="3"/>
        <v>3.1639505303903762E-2</v>
      </c>
      <c r="F31" s="17">
        <f>SUM(E31:E34)</f>
        <v>0.30848517671306169</v>
      </c>
    </row>
    <row r="32" spans="1:6" x14ac:dyDescent="0.25">
      <c r="A32" t="s">
        <v>28</v>
      </c>
      <c r="B32" s="16">
        <v>0.17</v>
      </c>
      <c r="C32">
        <f t="shared" ref="C32:C35" si="5">B32*$C$8</f>
        <v>18749.599200000001</v>
      </c>
      <c r="D32" t="s">
        <v>34</v>
      </c>
      <c r="E32" s="9">
        <f t="shared" si="3"/>
        <v>6.7233948770795499E-2</v>
      </c>
    </row>
    <row r="33" spans="1:6" x14ac:dyDescent="0.25">
      <c r="A33" t="s">
        <v>29</v>
      </c>
      <c r="B33" s="16">
        <v>0.15</v>
      </c>
      <c r="C33">
        <f t="shared" si="5"/>
        <v>16543.763999999999</v>
      </c>
      <c r="D33" t="s">
        <v>34</v>
      </c>
      <c r="E33" s="9">
        <f t="shared" si="3"/>
        <v>5.9324072444819555E-2</v>
      </c>
    </row>
    <row r="34" spans="1:6" x14ac:dyDescent="0.25">
      <c r="A34" t="s">
        <v>30</v>
      </c>
      <c r="B34" s="16">
        <v>0.38</v>
      </c>
      <c r="C34">
        <f t="shared" si="5"/>
        <v>41910.868799999997</v>
      </c>
      <c r="D34" t="s">
        <v>34</v>
      </c>
      <c r="E34" s="9">
        <f t="shared" si="3"/>
        <v>0.15028765019354287</v>
      </c>
    </row>
    <row r="35" spans="1:6" x14ac:dyDescent="0.25">
      <c r="A35" t="s">
        <v>73</v>
      </c>
      <c r="B35" s="9">
        <v>0.22</v>
      </c>
      <c r="C35">
        <f t="shared" si="5"/>
        <v>24264.1872</v>
      </c>
      <c r="D35" t="s">
        <v>34</v>
      </c>
      <c r="E35" s="18">
        <f t="shared" si="3"/>
        <v>8.7008639585735348E-2</v>
      </c>
    </row>
    <row r="36" spans="1:6" x14ac:dyDescent="0.25">
      <c r="A36" t="s">
        <v>49</v>
      </c>
      <c r="B36" s="9"/>
      <c r="C36" s="10"/>
      <c r="D36" t="s">
        <v>59</v>
      </c>
      <c r="E36" s="9">
        <f>SUM(E26:E35)</f>
        <v>0.99395493816298786</v>
      </c>
    </row>
    <row r="37" spans="1:6" x14ac:dyDescent="0.25">
      <c r="A37" s="3" t="s">
        <v>54</v>
      </c>
    </row>
    <row r="38" spans="1:6" x14ac:dyDescent="0.25">
      <c r="A38" t="s">
        <v>19</v>
      </c>
      <c r="B38" s="9">
        <v>0.28000000000000003</v>
      </c>
      <c r="C38">
        <f>B38*$B$8</f>
        <v>47202.19</v>
      </c>
      <c r="D38" t="s">
        <v>34</v>
      </c>
      <c r="E38">
        <f>C38/$B$2</f>
        <v>0.16926173143633683</v>
      </c>
      <c r="F38">
        <f>SUM(E38+E39+E42)</f>
        <v>0.57428087451614274</v>
      </c>
    </row>
    <row r="39" spans="1:6" x14ac:dyDescent="0.25">
      <c r="A39" t="s">
        <v>22</v>
      </c>
      <c r="B39" s="9">
        <v>0.28999999999999998</v>
      </c>
      <c r="C39">
        <f t="shared" ref="C39:C42" si="6">B39*$B$8</f>
        <v>48887.982499999998</v>
      </c>
      <c r="D39" t="s">
        <v>34</v>
      </c>
      <c r="E39">
        <f t="shared" ref="E39:E42" si="7">C39/$B$2</f>
        <v>0.17530679327334883</v>
      </c>
      <c r="F39">
        <f>E40+E41</f>
        <v>2.4180247348048117E-2</v>
      </c>
    </row>
    <row r="40" spans="1:6" x14ac:dyDescent="0.25">
      <c r="A40" t="s">
        <v>61</v>
      </c>
      <c r="B40" s="9">
        <v>0.01</v>
      </c>
      <c r="C40">
        <f t="shared" si="6"/>
        <v>1685.7925</v>
      </c>
      <c r="D40" t="s">
        <v>34</v>
      </c>
      <c r="E40">
        <f t="shared" si="7"/>
        <v>6.0450618370120291E-3</v>
      </c>
    </row>
    <row r="41" spans="1:6" x14ac:dyDescent="0.25">
      <c r="A41" t="s">
        <v>26</v>
      </c>
      <c r="B41" s="9">
        <v>0.03</v>
      </c>
      <c r="C41">
        <f t="shared" si="6"/>
        <v>5057.3774999999996</v>
      </c>
      <c r="D41" t="s">
        <v>34</v>
      </c>
      <c r="E41">
        <f t="shared" si="7"/>
        <v>1.8135185511036087E-2</v>
      </c>
    </row>
    <row r="42" spans="1:6" x14ac:dyDescent="0.25">
      <c r="A42" t="s">
        <v>23</v>
      </c>
      <c r="B42" s="9">
        <v>0.38</v>
      </c>
      <c r="C42">
        <f t="shared" si="6"/>
        <v>64060.114999999998</v>
      </c>
      <c r="D42" t="s">
        <v>34</v>
      </c>
      <c r="E42">
        <f t="shared" si="7"/>
        <v>0.22971234980645711</v>
      </c>
    </row>
    <row r="43" spans="1:6" x14ac:dyDescent="0.25">
      <c r="A43" t="s">
        <v>73</v>
      </c>
      <c r="C43" s="10">
        <v>50000</v>
      </c>
      <c r="D43" t="s">
        <v>34</v>
      </c>
      <c r="E43">
        <f>C43/$B$2</f>
        <v>0.17929436265175072</v>
      </c>
    </row>
    <row r="44" spans="1:6" x14ac:dyDescent="0.25">
      <c r="A44" t="s">
        <v>47</v>
      </c>
      <c r="C44">
        <v>60000</v>
      </c>
      <c r="D44" t="s">
        <v>34</v>
      </c>
      <c r="E44">
        <f>C44/$B$2</f>
        <v>0.21515323518210086</v>
      </c>
    </row>
    <row r="45" spans="1:6" x14ac:dyDescent="0.25">
      <c r="A45" t="s">
        <v>62</v>
      </c>
      <c r="E45">
        <f>SUM(E38:E44)</f>
        <v>0.9929087196980424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CA5A94219EDC4D84EBC1202FF7619B" ma:contentTypeVersion="13" ma:contentTypeDescription="Create a new document." ma:contentTypeScope="" ma:versionID="db08fb158fe7ec44a8ce52995087e739">
  <xsd:schema xmlns:xsd="http://www.w3.org/2001/XMLSchema" xmlns:xs="http://www.w3.org/2001/XMLSchema" xmlns:p="http://schemas.microsoft.com/office/2006/metadata/properties" xmlns:ns2="8a02bfa5-f00b-4d3c-821b-84e2739fb686" xmlns:ns3="363072d2-5148-4098-9f16-f68e345830a1" targetNamespace="http://schemas.microsoft.com/office/2006/metadata/properties" ma:root="true" ma:fieldsID="05fb540942ed08a284b8699fb3406c90" ns2:_="" ns3:_="">
    <xsd:import namespace="8a02bfa5-f00b-4d3c-821b-84e2739fb686"/>
    <xsd:import namespace="363072d2-5148-4098-9f16-f68e3458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2bfa5-f00b-4d3c-821b-84e2739fb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072d2-5148-4098-9f16-f68e345830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6514468-a7c9-4277-a5ab-0d2722a1d3af}" ma:internalName="TaxCatchAll" ma:showField="CatchAllData" ma:web="363072d2-5148-4098-9f16-f68e34583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072d2-5148-4098-9f16-f68e345830a1" xsi:nil="true"/>
    <lcf76f155ced4ddcb4097134ff3c332f xmlns="8a02bfa5-f00b-4d3c-821b-84e2739fb6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5C8C93-1CFC-4F8E-8FCF-929837D1B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2bfa5-f00b-4d3c-821b-84e2739fb686"/>
    <ds:schemaRef ds:uri="363072d2-5148-4098-9f16-f68e34583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44D88E-4DB8-4C25-BF80-C45D25328659}">
  <ds:schemaRefs>
    <ds:schemaRef ds:uri="http://schemas.microsoft.com/office/2006/documentManagement/types"/>
    <ds:schemaRef ds:uri="http://purl.org/dc/elements/1.1/"/>
    <ds:schemaRef ds:uri="8a02bfa5-f00b-4d3c-821b-84e2739fb686"/>
    <ds:schemaRef ds:uri="363072d2-5148-4098-9f16-f68e345830a1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48DFCD2-FB6D-4F70-B015-20FF2567C1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2022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Sadie MacDonald</dc:creator>
  <cp:keywords/>
  <dc:description/>
  <cp:lastModifiedBy>Sadie MacDonald</cp:lastModifiedBy>
  <cp:revision/>
  <dcterms:created xsi:type="dcterms:W3CDTF">2015-06-05T18:17:20Z</dcterms:created>
  <dcterms:modified xsi:type="dcterms:W3CDTF">2025-11-26T20:45:25Z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0x01010072CA5A94219EDC4D84EBC1202FF7619B</vt:lpwstr>
  </property>
  <property fmtid="{D5CDD505-2E9C-101B-9397-08002B2CF9AE}" pid="3" name="MediaServiceImageTags">
    <vt:lpwstr/>
  </property>
</Properties>
</file>