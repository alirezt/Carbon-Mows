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macdo55\Downloads\Jupyter Notebooks\"/>
    </mc:Choice>
  </mc:AlternateContent>
  <xr:revisionPtr revIDLastSave="0" documentId="13_ncr:1_{B991F7D0-F09F-4FCA-A34A-5F35327407D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CI" sheetId="1" r:id="rId1"/>
    <sheet name="Transportation" sheetId="2" r:id="rId2"/>
    <sheet name="Landfill Equations (WARM)" sheetId="3" r:id="rId3"/>
    <sheet name="Fertilizer credit for compost" sheetId="4" r:id="rId4"/>
    <sheet name="Natural gas credit AD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1" i="1"/>
  <c r="D130" i="1"/>
  <c r="D162" i="1"/>
  <c r="D146" i="1"/>
  <c r="D21" i="1"/>
  <c r="D22" i="1"/>
  <c r="D23" i="1"/>
  <c r="F300" i="1"/>
  <c r="B12" i="5"/>
  <c r="J4" i="4" l="1"/>
  <c r="J3" i="4"/>
  <c r="J2" i="4"/>
  <c r="D161" i="1"/>
  <c r="D160" i="1"/>
  <c r="D111" i="1"/>
  <c r="D94" i="1"/>
  <c r="D78" i="1"/>
  <c r="E272" i="1"/>
  <c r="C91" i="1"/>
  <c r="C108" i="1" s="1"/>
  <c r="D91" i="1"/>
  <c r="D108" i="1" s="1"/>
  <c r="D127" i="1" s="1"/>
  <c r="D75" i="1"/>
  <c r="E319" i="1" l="1"/>
  <c r="E162" i="1"/>
  <c r="E146" i="1"/>
  <c r="E318" i="1"/>
  <c r="A318" i="1"/>
  <c r="E300" i="1"/>
  <c r="E301" i="1" s="1"/>
  <c r="A300" i="1" l="1"/>
  <c r="D158" i="1"/>
  <c r="F157" i="1"/>
  <c r="A157" i="1"/>
  <c r="D142" i="1"/>
  <c r="F141" i="1"/>
  <c r="A141" i="1"/>
  <c r="D107" i="1"/>
  <c r="D90" i="1"/>
  <c r="F106" i="1"/>
  <c r="A106" i="1"/>
  <c r="A89" i="1"/>
  <c r="F89" i="1"/>
  <c r="D126" i="1"/>
  <c r="D74" i="1"/>
  <c r="E44" i="1"/>
  <c r="E45" i="1" s="1"/>
  <c r="B6" i="5" l="1"/>
  <c r="D175" i="1"/>
  <c r="F172" i="1"/>
  <c r="A172" i="1"/>
  <c r="D202" i="1"/>
  <c r="F199" i="1"/>
  <c r="A199" i="1"/>
  <c r="A247" i="1"/>
  <c r="D250" i="1"/>
  <c r="F247" i="1"/>
  <c r="A272" i="1"/>
  <c r="D283" i="1"/>
  <c r="D282" i="1"/>
  <c r="D281" i="1"/>
  <c r="D280" i="1"/>
  <c r="D279" i="1"/>
  <c r="D278" i="1"/>
  <c r="D277" i="1"/>
  <c r="D276" i="1"/>
  <c r="D275" i="1"/>
  <c r="D274" i="1"/>
  <c r="D273" i="1"/>
  <c r="F272" i="1"/>
  <c r="D229" i="1"/>
  <c r="A23" i="4"/>
  <c r="A22" i="4"/>
  <c r="A21" i="4"/>
  <c r="A13" i="4"/>
  <c r="A14" i="4"/>
  <c r="A12" i="4"/>
  <c r="D49" i="1"/>
  <c r="D14" i="1"/>
  <c r="E12" i="1" l="1"/>
  <c r="E11" i="1"/>
  <c r="D19" i="3"/>
  <c r="D15" i="3"/>
  <c r="D3" i="3"/>
  <c r="D14" i="2"/>
  <c r="B14" i="2"/>
  <c r="D13" i="2"/>
  <c r="F226" i="1"/>
  <c r="F125" i="1"/>
  <c r="A125" i="1"/>
  <c r="F73" i="1"/>
  <c r="D59" i="1"/>
  <c r="D58" i="1"/>
  <c r="D57" i="1"/>
  <c r="D56" i="1"/>
  <c r="D55" i="1"/>
  <c r="D54" i="1"/>
  <c r="D53" i="1"/>
  <c r="D52" i="1"/>
  <c r="D51" i="1"/>
  <c r="D50" i="1"/>
  <c r="D48" i="1"/>
  <c r="D47" i="1"/>
  <c r="D46" i="1"/>
  <c r="D45" i="1"/>
  <c r="F44" i="1"/>
  <c r="D20" i="1"/>
  <c r="D19" i="1"/>
  <c r="D18" i="1"/>
  <c r="D17" i="1"/>
  <c r="D15" i="1"/>
  <c r="D13" i="1"/>
  <c r="D12" i="1"/>
  <c r="F11" i="1"/>
</calcChain>
</file>

<file path=xl/sharedStrings.xml><?xml version="1.0" encoding="utf-8"?>
<sst xmlns="http://schemas.openxmlformats.org/spreadsheetml/2006/main" count="1318" uniqueCount="203">
  <si>
    <t>Database</t>
  </si>
  <si>
    <t>OWM LCA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</si>
  <si>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</si>
  <si>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</si>
  <si>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</si>
  <si>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</si>
  <si>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</si>
  <si>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</si>
  <si>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</si>
  <si>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</si>
  <si>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</si>
  <si>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</si>
  <si>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</si>
  <si>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</si>
  <si>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</si>
  <si>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</si>
  <si>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</si>
  <si>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</si>
  <si>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</si>
  <si>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</si>
  <si>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</si>
  <si>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</si>
  <si>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</si>
  <si>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</si>
  <si>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</si>
  <si>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</si>
  <si>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</si>
  <si>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</si>
  <si>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</si>
  <si>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</si>
  <si>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</si>
  <si>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adapted from Lewerenz et al., 2023; represents montreal CTMO</t>
  </si>
  <si>
    <t>DE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</si>
  <si>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</si>
  <si>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</si>
  <si>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</si>
  <si>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</si>
  <si>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</si>
  <si>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</si>
  <si>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</si>
  <si>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</si>
  <si>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</si>
  <si>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municipal waste collection service by 21 metric ton lorry</t>
  </si>
  <si>
    <t>municipal waste collection service by 21 metric ton lorry</t>
  </si>
  <si>
    <t>ton kilometer</t>
  </si>
  <si>
    <t>market for transport, freight, lorry &gt;32 metric ton, EURO5</t>
  </si>
  <si>
    <t>transport, freight, lorry &gt;32 metric ton, EURO5</t>
  </si>
  <si>
    <t>RER</t>
  </si>
  <si>
    <t>composting facility construction, open</t>
  </si>
  <si>
    <t>composting facility, open</t>
  </si>
  <si>
    <t>RoW</t>
  </si>
  <si>
    <t>input, this is more specified in the original LCA</t>
  </si>
  <si>
    <t>market for municipal solid waste</t>
  </si>
  <si>
    <t>municipal solid waste</t>
  </si>
  <si>
    <t>kilogram</t>
  </si>
  <si>
    <t>market for wastewater, average</t>
  </si>
  <si>
    <t>wastewater, average</t>
  </si>
  <si>
    <t>cubic meter</t>
  </si>
  <si>
    <t>Europe without Switzerland</t>
  </si>
  <si>
    <t>water</t>
  </si>
  <si>
    <t>biosphere</t>
  </si>
  <si>
    <t>air</t>
  </si>
  <si>
    <t>output, not sure if this is an elementary flow or technosphere, just said water</t>
  </si>
  <si>
    <t>Ammonia</t>
  </si>
  <si>
    <t>Carbon dioxide, non-fossil</t>
  </si>
  <si>
    <t>Dinitrogen monoxide</t>
  </si>
  <si>
    <t>Hydrogen sulfide</t>
  </si>
  <si>
    <t>Methane, non-fossil</t>
  </si>
  <si>
    <t>substitution</t>
  </si>
  <si>
    <t>adapted from Lewerenz et al., 2023; represents montreal biomethanization plant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</si>
  <si>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</si>
  <si>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</si>
  <si>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</si>
  <si>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</si>
  <si>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</si>
  <si>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</si>
  <si>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</si>
  <si>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</si>
  <si>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</si>
  <si>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</si>
  <si>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digester sludge, Recycled Content cut-off</t>
  </si>
  <si>
    <t>digester sludge</t>
  </si>
  <si>
    <t>adapted from WARM 2023</t>
  </si>
  <si>
    <t>kwh</t>
  </si>
  <si>
    <t>Transportation Distance</t>
  </si>
  <si>
    <t xml:space="preserve">Montreal-est TS Adress: </t>
  </si>
  <si>
    <t>9000, place Marien, Montréal-Est</t>
  </si>
  <si>
    <t>note: assume all collection routes are the same and only consider distance from transfer station to facility, assume mtl-est transfer station (bc shared for both SSO and RW)</t>
  </si>
  <si>
    <t>Facility</t>
  </si>
  <si>
    <t xml:space="preserve">Distance </t>
  </si>
  <si>
    <t>units</t>
  </si>
  <si>
    <t>Address</t>
  </si>
  <si>
    <t>Note</t>
  </si>
  <si>
    <t>km</t>
  </si>
  <si>
    <t>2535, 1re Rue, Ste-Sophie (Qc) J0R 1S0</t>
  </si>
  <si>
    <t>3779, chemin des 40 Arpents, Lachenaie, QC J6V 9T6</t>
  </si>
  <si>
    <t>1001, Chemin St-Joseph, Saint-Thomas, QC J0K 3L0</t>
  </si>
  <si>
    <t>6985, chemin des Sources, Lachute</t>
  </si>
  <si>
    <t>25, rue Gagnon, St-Nicéphore (Qc) J2A 3H3</t>
  </si>
  <si>
    <t>702 route 137 sud, Sainte-Cécile-de-Milton, QC J0E 2C0</t>
  </si>
  <si>
    <t>908 Aurele Rd, Casselman, ON K0A 1M0</t>
  </si>
  <si>
    <t>not sure…</t>
  </si>
  <si>
    <t>2235 Rue Michel-Jurdant, Montréal, QC H1Z 4N1</t>
  </si>
  <si>
    <t>9091 Henri Bourassa Blvd W, Saint-Laurent, Quebec H4S 1P7</t>
  </si>
  <si>
    <t>note: in reality I really don't think they would use the mtl est transfer station but why be specific for just this one</t>
  </si>
  <si>
    <t>can't find address currently</t>
  </si>
  <si>
    <t>general canadian facility, no transport</t>
  </si>
  <si>
    <t>Warm model parameters (MSW landfilling of Mixed Organics; LFG recovery and electricity generation, typical collection, wet conditions (k=0.06))</t>
  </si>
  <si>
    <t>Process and parameters</t>
  </si>
  <si>
    <t>Equation (if applicable)</t>
  </si>
  <si>
    <t>Unit</t>
  </si>
  <si>
    <t>Value</t>
  </si>
  <si>
    <t>Notes</t>
  </si>
  <si>
    <t>Electricity at grid</t>
  </si>
  <si>
    <t>electricity_from_CH4*CH4_recovered_for_energy*(1-system_down_time)*(final_yield_CH4*(1-moisture_content_mixed_organics)/tonne_to_sh_tn)</t>
  </si>
  <si>
    <t>electricity_from_CH4</t>
  </si>
  <si>
    <t>CH4_calorific_value*net_capacity*kWh_per_BTU_CH4/(density_CH4_for_electricity/1000000)</t>
  </si>
  <si>
    <t>CH4_recovered_for_energy</t>
  </si>
  <si>
    <t>%1. Source: Barlaz data</t>
  </si>
  <si>
    <t>system_down_time</t>
  </si>
  <si>
    <t>final_yield_CH4</t>
  </si>
  <si>
    <t>(1.24384729900016/GWP_CH4)*tonne_to_sh_tn/(1- moisture_content_mixed_organics)</t>
  </si>
  <si>
    <t>moisture_content_mixed_organics</t>
  </si>
  <si>
    <t>tonne_to_sh_tn</t>
  </si>
  <si>
    <t>Conversion of units from metric tonnes to short tons</t>
  </si>
  <si>
    <t>CH4_calorific_value</t>
  </si>
  <si>
    <t>BTU/m3 methane. Source: EPA 2013. LMOP Benefits Calculator</t>
  </si>
  <si>
    <t>net_capacity</t>
  </si>
  <si>
    <t>%1. Source: EPA 2005. LMOP Net capacity factor for generation units (availability, operating load, parasitic losses).</t>
  </si>
  <si>
    <t>density_CH4_for_electricity</t>
  </si>
  <si>
    <t>g/ft3</t>
  </si>
  <si>
    <t>kWh_per_BTU_CH4</t>
  </si>
  <si>
    <t>kWh of electricity generated per BTU methane. Source:  EPA 2005. LMOP Benefits Calculator.</t>
  </si>
  <si>
    <t>GWP_CH4</t>
  </si>
  <si>
    <t>IPCC 2007</t>
  </si>
  <si>
    <t>Carbon</t>
  </si>
  <si>
    <t>C_storage_final *(1-moisture_content_mixed_organics)/tonne_to_sh_tn</t>
  </si>
  <si>
    <t>t</t>
  </si>
  <si>
    <t>C_storage_final</t>
  </si>
  <si>
    <t>0.29606255454107*tonne_to_sh_tn/((1- moisture_content_mixed_organics)*C_to_CO2)</t>
  </si>
  <si>
    <t>C_to_CO2</t>
  </si>
  <si>
    <t>Conversion from carbon to CO2 according to molecular weights</t>
  </si>
  <si>
    <t>Methane</t>
  </si>
  <si>
    <t>CH4_emitted_final*final_yield_CH4*(1-moisture_content_mixed_organics)/tonne_to_sh_tn</t>
  </si>
  <si>
    <t>CH4_emitted_final</t>
  </si>
  <si>
    <t>inorganic nitrogen fertiliser, as N</t>
  </si>
  <si>
    <t>inorganic phosphorus fertiliser, as P2O5</t>
  </si>
  <si>
    <t>inorganic potassium fertiliser, as K2O</t>
  </si>
  <si>
    <t>RNA</t>
  </si>
  <si>
    <t>m3</t>
  </si>
  <si>
    <t>Data provided by waste connections</t>
  </si>
  <si>
    <t>Terrebonne compost</t>
  </si>
  <si>
    <t>source</t>
  </si>
  <si>
    <t>ecoinvent-3.8-cutoff</t>
  </si>
  <si>
    <t>https://doi.org/10.1016/j.jclepro.2016.06.150</t>
  </si>
  <si>
    <t>kg P2O5</t>
  </si>
  <si>
    <t>kg K2O</t>
  </si>
  <si>
    <t>kg N</t>
  </si>
  <si>
    <t>t dry compost</t>
  </si>
  <si>
    <t>t wet compost</t>
  </si>
  <si>
    <t>t OW</t>
  </si>
  <si>
    <t xml:space="preserve">NS compost </t>
  </si>
  <si>
    <t>lewerenz_Open Composter</t>
  </si>
  <si>
    <t>heating value</t>
  </si>
  <si>
    <t>Landfill gas</t>
  </si>
  <si>
    <t>MJ/m3</t>
  </si>
  <si>
    <t>Natural gas</t>
  </si>
  <si>
    <t>MJ/m4</t>
  </si>
  <si>
    <t>efficiency of LFG relative to NG</t>
  </si>
  <si>
    <t>%</t>
  </si>
  <si>
    <t xml:space="preserve">Annual production of GNR from AD </t>
  </si>
  <si>
    <t>Facility capacity</t>
  </si>
  <si>
    <t>t OW annually</t>
  </si>
  <si>
    <t>GHG report City</t>
  </si>
  <si>
    <t>Avoided Natural gas</t>
  </si>
  <si>
    <t>m3/t OW</t>
  </si>
  <si>
    <t>diesel, burned in diesel-electric generating set, 10MW</t>
  </si>
  <si>
    <t>NS_AD</t>
  </si>
  <si>
    <t>NS_compost</t>
  </si>
  <si>
    <t>CA-NS</t>
  </si>
  <si>
    <t>Colchester Composting Facility in Kemptown, Nova Scotia</t>
  </si>
  <si>
    <t>output, credit as avoided fertilizer because we know it is directly field applied</t>
  </si>
  <si>
    <t>nutrient supply from urea</t>
  </si>
  <si>
    <t>nutrient supply from monoammonium phosphate</t>
  </si>
  <si>
    <t>nutrient supply from potassium chloride</t>
  </si>
  <si>
    <t>market for diesel, burned in diesel-electric generating set, 10MW</t>
  </si>
  <si>
    <t>soil</t>
  </si>
  <si>
    <t>Methane, from soil or biomass stock</t>
  </si>
  <si>
    <t>natural gas, high pressure</t>
  </si>
  <si>
    <t>market for natural gas, high pressure</t>
  </si>
  <si>
    <t xml:space="preserve">empty lorry km </t>
  </si>
  <si>
    <t>sensitivity, 50, 60 %</t>
  </si>
  <si>
    <t>ecoinvent-3.9.1-cutoff</t>
  </si>
  <si>
    <t>ecoinvent-3.9-biosphere</t>
  </si>
  <si>
    <t>OWM Facilities</t>
  </si>
  <si>
    <t>treatment of wastewater, average, wastewater treatment</t>
  </si>
  <si>
    <t>CA</t>
  </si>
  <si>
    <t>NMVOC, non-methane volatile organic compounds</t>
  </si>
  <si>
    <t>nutrient supply from potassium nitrate</t>
  </si>
  <si>
    <t>Courthouse Hill Energy Ltd.</t>
  </si>
  <si>
    <t xml:space="preserve">avoided fertilizer… </t>
  </si>
  <si>
    <t>market for diesel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</si>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</sst>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"/>
    <numFmt numFmtId="166" formatCode="0.000E+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63636"/>
      <name val="Arial"/>
      <family val="2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8" fillId="0" borderId="3" applyNumberFormat="0" applyFill="0" applyAlignment="0" applyProtection="0"/>
  </cellStyleXfs>
  <cellXfs count="41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2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/>
    <xf numFmtId="1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1" fontId="0" fillId="0" borderId="2" xfId="0" applyNumberFormat="1" applyBorder="1"/>
    <xf numFmtId="0" fontId="0" fillId="3" borderId="0" xfId="0" applyFill="1"/>
    <xf numFmtId="0" fontId="4" fillId="0" borderId="0" xfId="0" applyFont="1"/>
    <xf numFmtId="0" fontId="0" fillId="4" borderId="0" xfId="0" applyFill="1"/>
    <xf numFmtId="0" fontId="2" fillId="0" borderId="1" xfId="1"/>
    <xf numFmtId="0" fontId="2" fillId="0" borderId="0" xfId="1" applyBorder="1"/>
    <xf numFmtId="0" fontId="2" fillId="0" borderId="0" xfId="1" applyFill="1" applyBorder="1"/>
    <xf numFmtId="9" fontId="0" fillId="0" borderId="0" xfId="0" applyNumberFormat="1"/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166" fontId="0" fillId="0" borderId="0" xfId="0" applyNumberFormat="1" applyAlignment="1">
      <alignment horizontal="right"/>
    </xf>
    <xf numFmtId="0" fontId="8" fillId="0" borderId="3" xfId="3"/>
    <xf numFmtId="0" fontId="0" fillId="0" borderId="0" xfId="0" applyFill="1"/>
    <xf numFmtId="1" fontId="0" fillId="0" borderId="0" xfId="0" applyNumberFormat="1" applyFill="1"/>
    <xf numFmtId="0" fontId="3" fillId="0" borderId="0" xfId="0" applyFont="1" applyFill="1"/>
    <xf numFmtId="11" fontId="0" fillId="0" borderId="0" xfId="0" applyNumberFormat="1" applyFill="1"/>
    <xf numFmtId="0" fontId="6" fillId="0" borderId="0" xfId="0" applyFont="1" applyFill="1" applyAlignment="1">
      <alignment horizontal="left" vertical="center"/>
    </xf>
    <xf numFmtId="11" fontId="0" fillId="0" borderId="0" xfId="0" applyNumberFormat="1" applyFill="1" applyAlignment="1">
      <alignment horizontal="right"/>
    </xf>
    <xf numFmtId="11" fontId="0" fillId="0" borderId="2" xfId="0" applyNumberFormat="1" applyFill="1" applyBorder="1"/>
    <xf numFmtId="164" fontId="0" fillId="0" borderId="0" xfId="0" applyNumberFormat="1" applyFill="1"/>
    <xf numFmtId="0" fontId="0" fillId="0" borderId="0" xfId="0" applyBorder="1"/>
    <xf numFmtId="1" fontId="0" fillId="0" borderId="0" xfId="0" applyNumberFormat="1" applyBorder="1"/>
    <xf numFmtId="11" fontId="0" fillId="0" borderId="0" xfId="0" applyNumberFormat="1" applyBorder="1"/>
    <xf numFmtId="0" fontId="6" fillId="0" borderId="0" xfId="0" applyFont="1" applyBorder="1" applyAlignment="1">
      <alignment horizontal="left" vertical="center"/>
    </xf>
    <xf numFmtId="11" fontId="0" fillId="0" borderId="0" xfId="0" applyNumberFormat="1" applyFill="1" applyBorder="1"/>
    <xf numFmtId="0" fontId="0" fillId="0" borderId="0" xfId="0" applyFill="1" applyBorder="1"/>
  </cellXfs>
  <cellStyles count="4">
    <cellStyle name="Heading 1" xfId="3" builtinId="16"/>
    <cellStyle name="Heading 3" xfId="1" builtinId="18"/>
    <cellStyle name="Normal" xfId="0" builtinId="0"/>
    <cellStyle name="Normal 2" xfId="2" xr:uid="{C1984B5A-0E98-421D-9649-8C2FA3852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acdo55\LCA%20data.xlsx" TargetMode="External"/><Relationship Id="rId1" Type="http://schemas.openxmlformats.org/officeDocument/2006/relationships/externalLinkPath" Target="/Users/smacdo55/LCA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acdo55\Downloads\extra%20facilities.xlsx" TargetMode="External"/><Relationship Id="rId1" Type="http://schemas.openxmlformats.org/officeDocument/2006/relationships/externalLinkPath" Target="/Users/smacdo55/Downloads/extra%20fac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CI"/>
      <sheetName val="Dependencies"/>
      <sheetName val="Landfill LCA"/>
      <sheetName val="Home composting"/>
    </sheetNames>
    <sheetDataSet>
      <sheetData sheetId="0" refreshError="1"/>
      <sheetData sheetId="1" refreshError="1"/>
      <sheetData sheetId="2">
        <row r="23">
          <cell r="M23">
            <v>8.074433305665539E-2</v>
          </cell>
        </row>
        <row r="27">
          <cell r="W27">
            <v>1.8120514032696062E-2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E11" t="str">
            <v>CA-QC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"/>
  <sheetViews>
    <sheetView tabSelected="1" topLeftCell="A192" workbookViewId="0">
      <selection activeCell="F310" sqref="F310"/>
    </sheetView>
  </sheetViews>
  <sheetFormatPr defaultRowHeight="15" x14ac:dyDescent="0.25"/>
  <cols>
    <col min="1" max="1" width="67.42578125" customWidth="1"/>
    <col min="2" max="2" width="50.85546875" customWidth="1"/>
    <col min="4" max="4" width="12.85546875" customWidth="1"/>
    <col min="6" max="6" width="28.140625" customWidth="1"/>
    <col min="7" max="7" width="18.85546875" customWidth="1"/>
  </cols>
  <sheetData>
    <row r="1" spans="1:10" x14ac:dyDescent="0.25">
      <c r="A1" s="1" t="s">
        <v>0</v>
      </c>
      <c r="B1" s="2" t="s">
        <v>194</v>
      </c>
    </row>
    <row r="3" spans="1:10" x14ac:dyDescent="0.25">
      <c r="A3" s="1" t="s">
        <v>2</v>
      </c>
      <c r="B3" s="2" t="s">
        <v>29</v>
      </c>
      <c r="C3" s="2"/>
      <c r="D3" s="2"/>
      <c r="E3" s="2"/>
      <c r="F3" s="2"/>
      <c r="G3" s="2"/>
      <c r="H3" s="2"/>
      <c r="I3" s="2"/>
    </row>
    <row r="4" spans="1:10" x14ac:dyDescent="0.25">
      <c r="A4" s="3" t="s">
        <v>3</v>
      </c>
      <c r="B4" t="s">
        <v>31</v>
      </c>
    </row>
    <row r="5" spans="1:10" x14ac:dyDescent="0.25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0" x14ac:dyDescent="0.25">
      <c r="A6" s="4" t="s">
        <v>6</v>
      </c>
      <c r="B6" s="6">
        <v>1</v>
      </c>
      <c r="C6" s="5"/>
      <c r="D6" s="5"/>
      <c r="E6" s="5"/>
      <c r="F6" s="5"/>
      <c r="G6" s="5"/>
      <c r="H6" s="5"/>
      <c r="I6" s="5"/>
    </row>
    <row r="7" spans="1:10" x14ac:dyDescent="0.25">
      <c r="A7" s="4" t="s">
        <v>7</v>
      </c>
      <c r="B7" s="7" t="s">
        <v>8</v>
      </c>
      <c r="C7" s="5"/>
      <c r="D7" s="5"/>
      <c r="E7" s="5"/>
      <c r="F7" s="5"/>
      <c r="G7" s="5"/>
      <c r="H7" s="5"/>
      <c r="I7" s="5"/>
    </row>
    <row r="9" spans="1:10" x14ac:dyDescent="0.25">
      <c r="A9" s="3" t="s">
        <v>9</v>
      </c>
    </row>
    <row r="10" spans="1:10" x14ac:dyDescent="0.25">
      <c r="A10" s="3" t="s">
        <v>10</v>
      </c>
      <c r="B10" s="3" t="s">
        <v>11</v>
      </c>
      <c r="C10" s="3" t="s">
        <v>7</v>
      </c>
      <c r="D10" s="8" t="s">
        <v>12</v>
      </c>
      <c r="E10" s="3" t="s">
        <v>4</v>
      </c>
      <c r="F10" s="3" t="s">
        <v>13</v>
      </c>
      <c r="G10" s="3" t="s">
        <v>14</v>
      </c>
      <c r="H10" s="3" t="s">
        <v>15</v>
      </c>
      <c r="I10" t="s">
        <v>3</v>
      </c>
    </row>
    <row r="11" spans="1:10" x14ac:dyDescent="0.25">
      <c r="A11" s="27" t="s">
        <v>29</v>
      </c>
      <c r="B11" s="27" t="s">
        <v>16</v>
      </c>
      <c r="C11" s="27" t="s">
        <v>8</v>
      </c>
      <c r="D11" s="28">
        <v>1</v>
      </c>
      <c r="E11" s="27" t="str">
        <f>B5</f>
        <v>CA-QC</v>
      </c>
      <c r="F11" s="27" t="str">
        <f>$B$1</f>
        <v>OWM Facilities</v>
      </c>
      <c r="G11" s="27" t="s">
        <v>17</v>
      </c>
      <c r="H11" s="29"/>
      <c r="I11" s="27" t="s">
        <v>33</v>
      </c>
    </row>
    <row r="12" spans="1:10" x14ac:dyDescent="0.25">
      <c r="A12" s="28" t="s">
        <v>34</v>
      </c>
      <c r="B12" s="27" t="s">
        <v>35</v>
      </c>
      <c r="C12" s="27" t="s">
        <v>36</v>
      </c>
      <c r="D12" s="30">
        <f>0.033*1000</f>
        <v>33</v>
      </c>
      <c r="E12" s="27" t="str">
        <f>B5</f>
        <v>CA-QC</v>
      </c>
      <c r="F12" s="31" t="s">
        <v>192</v>
      </c>
      <c r="G12" s="27" t="s">
        <v>19</v>
      </c>
      <c r="H12" s="27"/>
      <c r="I12" s="27" t="s">
        <v>37</v>
      </c>
    </row>
    <row r="13" spans="1:10" x14ac:dyDescent="0.25">
      <c r="A13" s="27" t="s">
        <v>38</v>
      </c>
      <c r="B13" s="27" t="s">
        <v>39</v>
      </c>
      <c r="C13" s="27" t="s">
        <v>40</v>
      </c>
      <c r="D13" s="30">
        <f>0.000253016462365506*1000</f>
        <v>0.25301646236550601</v>
      </c>
      <c r="E13" s="27" t="s">
        <v>41</v>
      </c>
      <c r="F13" s="31" t="s">
        <v>192</v>
      </c>
      <c r="G13" s="27" t="s">
        <v>19</v>
      </c>
      <c r="H13" s="27"/>
      <c r="I13" s="27" t="s">
        <v>37</v>
      </c>
    </row>
    <row r="14" spans="1:10" x14ac:dyDescent="0.25">
      <c r="A14" s="27" t="s">
        <v>45</v>
      </c>
      <c r="B14" s="27" t="s">
        <v>46</v>
      </c>
      <c r="C14" s="27" t="s">
        <v>44</v>
      </c>
      <c r="D14" s="30">
        <f>Transportation!B15</f>
        <v>28.4</v>
      </c>
      <c r="E14" s="27" t="s">
        <v>47</v>
      </c>
      <c r="F14" s="31" t="s">
        <v>192</v>
      </c>
      <c r="G14" s="27" t="s">
        <v>19</v>
      </c>
      <c r="H14" s="27"/>
      <c r="I14" s="27" t="s">
        <v>37</v>
      </c>
      <c r="J14" t="s">
        <v>190</v>
      </c>
    </row>
    <row r="15" spans="1:10" x14ac:dyDescent="0.25">
      <c r="A15" s="27" t="s">
        <v>52</v>
      </c>
      <c r="B15" s="27" t="s">
        <v>53</v>
      </c>
      <c r="C15" s="27" t="s">
        <v>54</v>
      </c>
      <c r="D15" s="30">
        <f>0.0000185*1000</f>
        <v>1.8499999999999999E-2</v>
      </c>
      <c r="E15" s="27" t="s">
        <v>5</v>
      </c>
      <c r="F15" s="31" t="s">
        <v>192</v>
      </c>
      <c r="G15" s="27" t="s">
        <v>19</v>
      </c>
      <c r="H15" s="27"/>
      <c r="I15" s="27" t="s">
        <v>33</v>
      </c>
    </row>
    <row r="16" spans="1:10" x14ac:dyDescent="0.25">
      <c r="A16" s="27" t="s">
        <v>195</v>
      </c>
      <c r="B16" s="27" t="s">
        <v>56</v>
      </c>
      <c r="C16" s="27" t="s">
        <v>57</v>
      </c>
      <c r="D16" s="27">
        <v>0.22500000000000001</v>
      </c>
      <c r="E16" s="27" t="s">
        <v>5</v>
      </c>
      <c r="F16" s="31" t="s">
        <v>192</v>
      </c>
      <c r="G16" s="27" t="s">
        <v>19</v>
      </c>
      <c r="H16" s="27"/>
      <c r="I16" s="27" t="s">
        <v>33</v>
      </c>
    </row>
    <row r="17" spans="1:9" x14ac:dyDescent="0.25">
      <c r="A17" s="27" t="s">
        <v>59</v>
      </c>
      <c r="B17" s="27"/>
      <c r="C17" s="27" t="s">
        <v>57</v>
      </c>
      <c r="D17" s="30">
        <f>0.000125*1000</f>
        <v>0.125</v>
      </c>
      <c r="E17" s="27"/>
      <c r="F17" s="31" t="s">
        <v>193</v>
      </c>
      <c r="G17" s="27" t="s">
        <v>60</v>
      </c>
      <c r="H17" s="27" t="s">
        <v>61</v>
      </c>
      <c r="I17" s="27" t="s">
        <v>62</v>
      </c>
    </row>
    <row r="18" spans="1:9" x14ac:dyDescent="0.25">
      <c r="A18" s="27" t="s">
        <v>63</v>
      </c>
      <c r="B18" s="27"/>
      <c r="C18" s="27" t="s">
        <v>54</v>
      </c>
      <c r="D18" s="32">
        <f>0.0000376*1000</f>
        <v>3.7600000000000001E-2</v>
      </c>
      <c r="E18" s="27"/>
      <c r="F18" s="31" t="s">
        <v>193</v>
      </c>
      <c r="G18" s="27" t="s">
        <v>60</v>
      </c>
      <c r="H18" s="27" t="s">
        <v>61</v>
      </c>
      <c r="I18" s="27" t="s">
        <v>33</v>
      </c>
    </row>
    <row r="19" spans="1:9" x14ac:dyDescent="0.25">
      <c r="A19" s="27" t="s">
        <v>64</v>
      </c>
      <c r="B19" s="27"/>
      <c r="C19" s="27" t="s">
        <v>54</v>
      </c>
      <c r="D19" s="30">
        <f>0.0936*1000</f>
        <v>93.600000000000009</v>
      </c>
      <c r="E19" s="27"/>
      <c r="F19" s="31" t="s">
        <v>193</v>
      </c>
      <c r="G19" s="27" t="s">
        <v>60</v>
      </c>
      <c r="H19" s="27" t="s">
        <v>61</v>
      </c>
      <c r="I19" s="27" t="s">
        <v>33</v>
      </c>
    </row>
    <row r="20" spans="1:9" x14ac:dyDescent="0.25">
      <c r="A20" s="27" t="s">
        <v>65</v>
      </c>
      <c r="B20" s="27"/>
      <c r="C20" s="27" t="s">
        <v>54</v>
      </c>
      <c r="D20" s="30">
        <f>0.000091*1000</f>
        <v>9.0999999999999998E-2</v>
      </c>
      <c r="E20" s="27"/>
      <c r="F20" s="31" t="s">
        <v>193</v>
      </c>
      <c r="G20" s="27" t="s">
        <v>60</v>
      </c>
      <c r="H20" s="27" t="s">
        <v>61</v>
      </c>
      <c r="I20" s="27" t="s">
        <v>33</v>
      </c>
    </row>
    <row r="21" spans="1:9" x14ac:dyDescent="0.25">
      <c r="A21" s="27" t="s">
        <v>66</v>
      </c>
      <c r="B21" s="27"/>
      <c r="C21" s="27" t="s">
        <v>54</v>
      </c>
      <c r="D21" s="30">
        <f>0.000526*1000</f>
        <v>0.52600000000000002</v>
      </c>
      <c r="E21" s="27"/>
      <c r="F21" s="31" t="s">
        <v>193</v>
      </c>
      <c r="G21" s="27" t="s">
        <v>60</v>
      </c>
      <c r="H21" s="27" t="s">
        <v>61</v>
      </c>
      <c r="I21" s="27" t="s">
        <v>33</v>
      </c>
    </row>
    <row r="22" spans="1:9" x14ac:dyDescent="0.25">
      <c r="A22" s="27" t="s">
        <v>67</v>
      </c>
      <c r="B22" s="27"/>
      <c r="C22" s="27" t="s">
        <v>54</v>
      </c>
      <c r="D22" s="30">
        <f>0.00264*1000</f>
        <v>2.64</v>
      </c>
      <c r="E22" s="27"/>
      <c r="F22" s="31" t="s">
        <v>193</v>
      </c>
      <c r="G22" s="27" t="s">
        <v>60</v>
      </c>
      <c r="H22" s="27" t="s">
        <v>61</v>
      </c>
      <c r="I22" s="27" t="s">
        <v>33</v>
      </c>
    </row>
    <row r="23" spans="1:9" x14ac:dyDescent="0.25">
      <c r="A23" s="27" t="s">
        <v>197</v>
      </c>
      <c r="B23" s="27"/>
      <c r="C23" s="27" t="s">
        <v>54</v>
      </c>
      <c r="D23" s="32">
        <f>0.000476*1000</f>
        <v>0.47600000000000003</v>
      </c>
      <c r="E23" s="27"/>
      <c r="F23" s="31" t="s">
        <v>193</v>
      </c>
      <c r="G23" s="27" t="s">
        <v>60</v>
      </c>
      <c r="H23" s="27" t="s">
        <v>61</v>
      </c>
      <c r="I23" s="27" t="s">
        <v>33</v>
      </c>
    </row>
    <row r="24" spans="1:9" x14ac:dyDescent="0.25">
      <c r="A24" s="27" t="s">
        <v>182</v>
      </c>
      <c r="B24" s="27" t="s">
        <v>145</v>
      </c>
      <c r="C24" s="27" t="s">
        <v>54</v>
      </c>
      <c r="D24" s="27">
        <v>0.29528799999999999</v>
      </c>
      <c r="E24" s="27" t="s">
        <v>148</v>
      </c>
      <c r="F24" s="31" t="s">
        <v>192</v>
      </c>
      <c r="G24" s="27" t="s">
        <v>68</v>
      </c>
      <c r="H24" s="27"/>
      <c r="I24" s="27"/>
    </row>
    <row r="25" spans="1:9" x14ac:dyDescent="0.25">
      <c r="A25" s="27" t="s">
        <v>183</v>
      </c>
      <c r="B25" s="27" t="s">
        <v>146</v>
      </c>
      <c r="C25" s="27" t="s">
        <v>54</v>
      </c>
      <c r="D25" s="27">
        <v>0.168736</v>
      </c>
      <c r="E25" s="27" t="s">
        <v>148</v>
      </c>
      <c r="F25" s="31" t="s">
        <v>192</v>
      </c>
      <c r="G25" s="27" t="s">
        <v>68</v>
      </c>
      <c r="H25" s="27"/>
      <c r="I25" s="27"/>
    </row>
    <row r="26" spans="1:9" x14ac:dyDescent="0.25">
      <c r="A26" s="27" t="s">
        <v>198</v>
      </c>
      <c r="B26" s="27" t="s">
        <v>147</v>
      </c>
      <c r="C26" s="27" t="s">
        <v>54</v>
      </c>
      <c r="D26" s="27">
        <v>0.253104</v>
      </c>
      <c r="E26" s="27" t="s">
        <v>148</v>
      </c>
      <c r="F26" s="31" t="s">
        <v>192</v>
      </c>
      <c r="G26" s="27" t="s">
        <v>68</v>
      </c>
      <c r="H26" s="27"/>
      <c r="I26" s="27"/>
    </row>
    <row r="27" spans="1:9" x14ac:dyDescent="0.25">
      <c r="B27" s="11"/>
      <c r="D27" s="12"/>
    </row>
    <row r="28" spans="1:9" x14ac:dyDescent="0.25">
      <c r="B28" s="11"/>
      <c r="D28" s="13"/>
    </row>
    <row r="29" spans="1:9" x14ac:dyDescent="0.25">
      <c r="B29" s="11"/>
      <c r="D29" s="13"/>
    </row>
    <row r="30" spans="1:9" x14ac:dyDescent="0.25">
      <c r="D30" s="12"/>
    </row>
    <row r="31" spans="1:9" x14ac:dyDescent="0.25">
      <c r="D31" s="12"/>
    </row>
    <row r="32" spans="1:9" x14ac:dyDescent="0.25">
      <c r="D32" s="12"/>
    </row>
    <row r="33" spans="1:9" x14ac:dyDescent="0.25">
      <c r="D33" s="12"/>
    </row>
    <row r="34" spans="1:9" x14ac:dyDescent="0.25">
      <c r="D34" s="12"/>
    </row>
    <row r="35" spans="1:9" x14ac:dyDescent="0.25">
      <c r="D35" s="12"/>
    </row>
    <row r="36" spans="1:9" x14ac:dyDescent="0.25">
      <c r="A36" s="1" t="s">
        <v>2</v>
      </c>
      <c r="B36" s="2" t="s">
        <v>30</v>
      </c>
      <c r="C36" s="2"/>
      <c r="D36" s="2"/>
      <c r="E36" s="2"/>
      <c r="F36" s="2"/>
      <c r="G36" s="2"/>
      <c r="H36" s="2"/>
      <c r="I36" s="2"/>
    </row>
    <row r="37" spans="1:9" x14ac:dyDescent="0.25">
      <c r="A37" s="3" t="s">
        <v>3</v>
      </c>
      <c r="B37" t="s">
        <v>69</v>
      </c>
    </row>
    <row r="38" spans="1:9" x14ac:dyDescent="0.25">
      <c r="A38" s="4" t="s">
        <v>4</v>
      </c>
      <c r="B38" s="5" t="s">
        <v>5</v>
      </c>
      <c r="C38" s="5"/>
      <c r="D38" s="5"/>
      <c r="E38" s="5"/>
      <c r="F38" s="5"/>
      <c r="G38" s="5"/>
      <c r="H38" s="5"/>
      <c r="I38" s="5"/>
    </row>
    <row r="39" spans="1:9" x14ac:dyDescent="0.25">
      <c r="A39" s="4" t="s">
        <v>6</v>
      </c>
      <c r="B39" s="6">
        <v>1</v>
      </c>
      <c r="C39" s="5"/>
      <c r="D39" s="5"/>
      <c r="E39" s="5"/>
      <c r="F39" s="5"/>
      <c r="G39" s="5"/>
      <c r="H39" s="5"/>
      <c r="I39" s="5"/>
    </row>
    <row r="40" spans="1:9" x14ac:dyDescent="0.25">
      <c r="A40" s="4" t="s">
        <v>7</v>
      </c>
      <c r="B40" s="5" t="s">
        <v>8</v>
      </c>
      <c r="C40" s="5"/>
      <c r="D40" s="5"/>
      <c r="E40" s="5"/>
      <c r="F40" s="5"/>
      <c r="G40" s="5"/>
      <c r="H40" s="5"/>
      <c r="I40" s="5"/>
    </row>
    <row r="42" spans="1:9" x14ac:dyDescent="0.25">
      <c r="A42" s="3" t="s">
        <v>9</v>
      </c>
    </row>
    <row r="43" spans="1:9" x14ac:dyDescent="0.25">
      <c r="A43" s="3" t="s">
        <v>10</v>
      </c>
      <c r="B43" s="3" t="s">
        <v>11</v>
      </c>
      <c r="C43" s="3" t="s">
        <v>7</v>
      </c>
      <c r="D43" s="8" t="s">
        <v>12</v>
      </c>
      <c r="E43" s="3" t="s">
        <v>4</v>
      </c>
      <c r="F43" s="3" t="s">
        <v>13</v>
      </c>
      <c r="G43" s="3" t="s">
        <v>14</v>
      </c>
      <c r="H43" s="3" t="s">
        <v>15</v>
      </c>
      <c r="I43" t="s">
        <v>3</v>
      </c>
    </row>
    <row r="44" spans="1:9" x14ac:dyDescent="0.25">
      <c r="A44" t="s">
        <v>30</v>
      </c>
      <c r="B44" t="s">
        <v>16</v>
      </c>
      <c r="C44" t="s">
        <v>8</v>
      </c>
      <c r="D44" s="12">
        <v>1</v>
      </c>
      <c r="E44" t="str">
        <f>B38</f>
        <v>CA-QC</v>
      </c>
      <c r="F44" t="str">
        <f>$B$1</f>
        <v>OWM Facilities</v>
      </c>
      <c r="G44" t="s">
        <v>17</v>
      </c>
    </row>
    <row r="45" spans="1:9" x14ac:dyDescent="0.25">
      <c r="A45" t="s">
        <v>34</v>
      </c>
      <c r="B45" t="s">
        <v>35</v>
      </c>
      <c r="C45" t="s">
        <v>36</v>
      </c>
      <c r="D45" s="10">
        <f>1000*0.002135</f>
        <v>2.1350000000000002</v>
      </c>
      <c r="E45" t="str">
        <f>E44</f>
        <v>CA-QC</v>
      </c>
      <c r="F45" s="22" t="s">
        <v>192</v>
      </c>
      <c r="G45" t="s">
        <v>19</v>
      </c>
    </row>
    <row r="46" spans="1:9" x14ac:dyDescent="0.25">
      <c r="A46" t="s">
        <v>71</v>
      </c>
      <c r="B46" t="s">
        <v>72</v>
      </c>
      <c r="C46" t="s">
        <v>73</v>
      </c>
      <c r="D46" s="10">
        <f>1000*0.2416</f>
        <v>241.60000000000002</v>
      </c>
      <c r="E46" t="s">
        <v>50</v>
      </c>
      <c r="F46" s="22" t="s">
        <v>192</v>
      </c>
      <c r="G46" t="s">
        <v>19</v>
      </c>
    </row>
    <row r="47" spans="1:9" x14ac:dyDescent="0.25">
      <c r="A47" t="s">
        <v>38</v>
      </c>
      <c r="B47" t="s">
        <v>39</v>
      </c>
      <c r="C47" t="s">
        <v>40</v>
      </c>
      <c r="D47" s="10">
        <f>1000*0.000352112676056338</f>
        <v>0.352112676056338</v>
      </c>
      <c r="E47" t="s">
        <v>41</v>
      </c>
      <c r="F47" s="22" t="s">
        <v>192</v>
      </c>
      <c r="G47" t="s">
        <v>19</v>
      </c>
    </row>
    <row r="48" spans="1:9" x14ac:dyDescent="0.25">
      <c r="A48" t="s">
        <v>74</v>
      </c>
      <c r="B48" t="s">
        <v>75</v>
      </c>
      <c r="C48" t="s">
        <v>54</v>
      </c>
      <c r="D48" s="10">
        <f>1000*0.225</f>
        <v>225</v>
      </c>
      <c r="E48" t="s">
        <v>70</v>
      </c>
      <c r="F48" s="22" t="s">
        <v>192</v>
      </c>
      <c r="G48" t="s">
        <v>19</v>
      </c>
    </row>
    <row r="49" spans="1:9" x14ac:dyDescent="0.25">
      <c r="A49" t="s">
        <v>45</v>
      </c>
      <c r="B49" t="s">
        <v>46</v>
      </c>
      <c r="C49" t="s">
        <v>44</v>
      </c>
      <c r="D49" s="10">
        <f>Transportation!B16</f>
        <v>0</v>
      </c>
      <c r="E49" t="s">
        <v>47</v>
      </c>
      <c r="F49" s="22" t="s">
        <v>192</v>
      </c>
      <c r="G49" t="s">
        <v>19</v>
      </c>
    </row>
    <row r="50" spans="1:9" x14ac:dyDescent="0.25">
      <c r="A50" t="s">
        <v>63</v>
      </c>
      <c r="C50" t="s">
        <v>54</v>
      </c>
      <c r="D50" s="11">
        <f>1000*0.0001456</f>
        <v>0.14559999999999998</v>
      </c>
      <c r="F50" s="22" t="s">
        <v>193</v>
      </c>
      <c r="G50" t="s">
        <v>60</v>
      </c>
      <c r="H50" t="s">
        <v>61</v>
      </c>
    </row>
    <row r="51" spans="1:9" x14ac:dyDescent="0.25">
      <c r="A51" t="s">
        <v>64</v>
      </c>
      <c r="C51" t="s">
        <v>54</v>
      </c>
      <c r="D51" s="11">
        <f>1000*0.0916</f>
        <v>91.6</v>
      </c>
      <c r="F51" s="22" t="s">
        <v>193</v>
      </c>
      <c r="G51" t="s">
        <v>60</v>
      </c>
      <c r="H51" t="s">
        <v>61</v>
      </c>
    </row>
    <row r="52" spans="1:9" x14ac:dyDescent="0.25">
      <c r="A52" t="s">
        <v>65</v>
      </c>
      <c r="C52" t="s">
        <v>54</v>
      </c>
      <c r="D52" s="11">
        <f>1000*0.00008</f>
        <v>0.08</v>
      </c>
      <c r="F52" s="22" t="s">
        <v>193</v>
      </c>
      <c r="G52" t="s">
        <v>60</v>
      </c>
      <c r="H52" t="s">
        <v>61</v>
      </c>
    </row>
    <row r="53" spans="1:9" x14ac:dyDescent="0.25">
      <c r="A53" t="s">
        <v>66</v>
      </c>
      <c r="C53" t="s">
        <v>54</v>
      </c>
      <c r="D53" s="11">
        <f>1000*0.0000896</f>
        <v>8.9599999999999999E-2</v>
      </c>
      <c r="F53" s="22" t="s">
        <v>193</v>
      </c>
      <c r="G53" t="s">
        <v>60</v>
      </c>
      <c r="H53" t="s">
        <v>61</v>
      </c>
    </row>
    <row r="54" spans="1:9" x14ac:dyDescent="0.25">
      <c r="A54" t="s">
        <v>67</v>
      </c>
      <c r="C54" t="s">
        <v>54</v>
      </c>
      <c r="D54" s="11">
        <f>1000*0.00274</f>
        <v>2.7399999999999998</v>
      </c>
      <c r="F54" s="22" t="s">
        <v>193</v>
      </c>
      <c r="G54" t="s">
        <v>60</v>
      </c>
      <c r="H54" t="s">
        <v>61</v>
      </c>
    </row>
    <row r="55" spans="1:9" x14ac:dyDescent="0.25">
      <c r="A55" t="s">
        <v>197</v>
      </c>
      <c r="C55" t="s">
        <v>54</v>
      </c>
      <c r="D55" s="10">
        <f>1000*0.000426</f>
        <v>0.42599999999999999</v>
      </c>
      <c r="F55" s="22" t="s">
        <v>193</v>
      </c>
      <c r="G55" t="s">
        <v>60</v>
      </c>
      <c r="H55" t="s">
        <v>61</v>
      </c>
    </row>
    <row r="56" spans="1:9" x14ac:dyDescent="0.25">
      <c r="A56" t="s">
        <v>76</v>
      </c>
      <c r="C56" t="s">
        <v>54</v>
      </c>
      <c r="D56" s="10">
        <f>1000*0.00000297</f>
        <v>2.97E-3</v>
      </c>
      <c r="F56" s="22" t="s">
        <v>193</v>
      </c>
      <c r="G56" t="s">
        <v>60</v>
      </c>
      <c r="H56" t="s">
        <v>61</v>
      </c>
    </row>
    <row r="57" spans="1:9" x14ac:dyDescent="0.25">
      <c r="A57" t="s">
        <v>77</v>
      </c>
      <c r="C57" t="s">
        <v>54</v>
      </c>
      <c r="D57" s="10">
        <f>1000*0.0000000928</f>
        <v>9.2799999999999992E-5</v>
      </c>
      <c r="F57" s="22" t="s">
        <v>193</v>
      </c>
      <c r="G57" t="s">
        <v>60</v>
      </c>
      <c r="H57" t="s">
        <v>59</v>
      </c>
    </row>
    <row r="58" spans="1:9" x14ac:dyDescent="0.25">
      <c r="A58" t="s">
        <v>78</v>
      </c>
      <c r="C58" t="s">
        <v>54</v>
      </c>
      <c r="D58" s="10">
        <f>1000*0.000000109</f>
        <v>1.0899999999999999E-4</v>
      </c>
      <c r="F58" s="22" t="s">
        <v>193</v>
      </c>
      <c r="G58" t="s">
        <v>60</v>
      </c>
      <c r="H58" t="s">
        <v>59</v>
      </c>
    </row>
    <row r="59" spans="1:9" x14ac:dyDescent="0.25">
      <c r="A59" t="s">
        <v>79</v>
      </c>
      <c r="C59" t="s">
        <v>54</v>
      </c>
      <c r="D59" s="10">
        <f>1000*0.0000000704</f>
        <v>7.039999999999999E-5</v>
      </c>
      <c r="F59" s="22" t="s">
        <v>193</v>
      </c>
      <c r="G59" t="s">
        <v>60</v>
      </c>
      <c r="H59" t="s">
        <v>61</v>
      </c>
    </row>
    <row r="60" spans="1:9" x14ac:dyDescent="0.25">
      <c r="A60" t="s">
        <v>195</v>
      </c>
      <c r="B60" t="s">
        <v>56</v>
      </c>
      <c r="C60" t="s">
        <v>57</v>
      </c>
      <c r="D60">
        <v>0.22500000000000001</v>
      </c>
      <c r="E60" t="s">
        <v>5</v>
      </c>
      <c r="F60" s="22" t="s">
        <v>192</v>
      </c>
      <c r="G60" t="s">
        <v>19</v>
      </c>
      <c r="I60" t="s">
        <v>33</v>
      </c>
    </row>
    <row r="61" spans="1:9" x14ac:dyDescent="0.25">
      <c r="A61" t="s">
        <v>80</v>
      </c>
      <c r="B61" t="s">
        <v>81</v>
      </c>
      <c r="C61" t="s">
        <v>54</v>
      </c>
      <c r="D61">
        <f>1000*0.62</f>
        <v>620</v>
      </c>
      <c r="E61" t="s">
        <v>41</v>
      </c>
      <c r="F61" s="22" t="s">
        <v>192</v>
      </c>
      <c r="G61" t="s">
        <v>19</v>
      </c>
      <c r="I61" t="s">
        <v>200</v>
      </c>
    </row>
    <row r="62" spans="1:9" x14ac:dyDescent="0.25">
      <c r="A62" s="27" t="s">
        <v>189</v>
      </c>
      <c r="B62" s="27" t="s">
        <v>188</v>
      </c>
      <c r="C62" t="s">
        <v>57</v>
      </c>
      <c r="D62">
        <f>'Natural gas credit AD'!B12</f>
        <v>20.905141753653442</v>
      </c>
      <c r="E62" t="s">
        <v>196</v>
      </c>
      <c r="F62" s="22" t="s">
        <v>192</v>
      </c>
      <c r="G62" t="s">
        <v>68</v>
      </c>
    </row>
    <row r="65" spans="1:9" x14ac:dyDescent="0.25">
      <c r="A65" s="1" t="s">
        <v>2</v>
      </c>
      <c r="B65" t="s">
        <v>18</v>
      </c>
      <c r="C65" s="2"/>
      <c r="D65" s="2"/>
      <c r="E65" s="2"/>
      <c r="F65" s="2"/>
      <c r="G65" s="2"/>
      <c r="H65" s="2"/>
      <c r="I65" s="2"/>
    </row>
    <row r="66" spans="1:9" x14ac:dyDescent="0.25">
      <c r="A66" s="3" t="s">
        <v>3</v>
      </c>
      <c r="B66" t="s">
        <v>82</v>
      </c>
    </row>
    <row r="67" spans="1:9" x14ac:dyDescent="0.25">
      <c r="A67" s="4" t="s">
        <v>4</v>
      </c>
      <c r="B67" s="5" t="s">
        <v>5</v>
      </c>
      <c r="C67" s="5"/>
      <c r="D67" s="5"/>
      <c r="E67" s="5"/>
      <c r="F67" s="5"/>
      <c r="G67" s="5"/>
      <c r="H67" s="5"/>
      <c r="I67" s="5"/>
    </row>
    <row r="68" spans="1:9" x14ac:dyDescent="0.25">
      <c r="A68" s="4" t="s">
        <v>6</v>
      </c>
      <c r="B68" s="6">
        <v>1</v>
      </c>
      <c r="C68" s="5"/>
      <c r="D68" s="5"/>
      <c r="E68" s="5"/>
      <c r="F68" s="5"/>
      <c r="G68" s="5"/>
      <c r="H68" s="5"/>
      <c r="I68" s="5"/>
    </row>
    <row r="69" spans="1:9" x14ac:dyDescent="0.25">
      <c r="A69" s="4" t="s">
        <v>7</v>
      </c>
      <c r="B69" s="5" t="s">
        <v>8</v>
      </c>
      <c r="C69" s="5"/>
      <c r="D69" s="5"/>
      <c r="E69" s="5"/>
      <c r="F69" s="5"/>
      <c r="G69" s="5"/>
      <c r="H69" s="5"/>
      <c r="I69" s="5"/>
    </row>
    <row r="71" spans="1:9" x14ac:dyDescent="0.25">
      <c r="A71" s="3" t="s">
        <v>9</v>
      </c>
    </row>
    <row r="72" spans="1:9" x14ac:dyDescent="0.25">
      <c r="A72" s="3" t="s">
        <v>10</v>
      </c>
      <c r="B72" s="3" t="s">
        <v>11</v>
      </c>
      <c r="C72" s="3" t="s">
        <v>7</v>
      </c>
      <c r="D72" s="8" t="s">
        <v>12</v>
      </c>
      <c r="E72" s="3" t="s">
        <v>4</v>
      </c>
      <c r="F72" s="3" t="s">
        <v>13</v>
      </c>
      <c r="G72" s="3" t="s">
        <v>14</v>
      </c>
      <c r="H72" s="3" t="s">
        <v>15</v>
      </c>
      <c r="I72" t="s">
        <v>3</v>
      </c>
    </row>
    <row r="73" spans="1:9" x14ac:dyDescent="0.25">
      <c r="A73" s="27" t="s">
        <v>18</v>
      </c>
      <c r="B73" s="27" t="s">
        <v>16</v>
      </c>
      <c r="C73" s="27" t="s">
        <v>8</v>
      </c>
      <c r="D73" s="34">
        <v>1</v>
      </c>
      <c r="E73" s="27" t="s">
        <v>5</v>
      </c>
      <c r="F73" s="27" t="str">
        <f>$B$1</f>
        <v>OWM Facilities</v>
      </c>
      <c r="G73" s="27" t="s">
        <v>17</v>
      </c>
      <c r="H73" s="27"/>
    </row>
    <row r="74" spans="1:9" x14ac:dyDescent="0.25">
      <c r="A74" s="27" t="s">
        <v>45</v>
      </c>
      <c r="B74" s="27" t="s">
        <v>46</v>
      </c>
      <c r="C74" s="27" t="s">
        <v>44</v>
      </c>
      <c r="D74" s="33">
        <f>Transportation!B4</f>
        <v>50.7</v>
      </c>
      <c r="E74" s="27" t="s">
        <v>47</v>
      </c>
      <c r="F74" s="31" t="s">
        <v>192</v>
      </c>
      <c r="G74" s="27" t="s">
        <v>19</v>
      </c>
      <c r="H74" s="27"/>
    </row>
    <row r="75" spans="1:9" x14ac:dyDescent="0.25">
      <c r="A75" s="27" t="s">
        <v>185</v>
      </c>
      <c r="B75" s="27" t="s">
        <v>176</v>
      </c>
      <c r="C75" s="27" t="s">
        <v>73</v>
      </c>
      <c r="D75" s="27">
        <f>0.319/948.45138280892</f>
        <v>3.363377457000001E-4</v>
      </c>
      <c r="E75" s="27" t="s">
        <v>41</v>
      </c>
      <c r="F75" s="31" t="s">
        <v>192</v>
      </c>
      <c r="G75" s="27" t="s">
        <v>19</v>
      </c>
      <c r="H75" s="27"/>
    </row>
    <row r="76" spans="1:9" x14ac:dyDescent="0.25">
      <c r="A76" s="27" t="s">
        <v>135</v>
      </c>
      <c r="B76" s="27"/>
      <c r="C76" s="27" t="s">
        <v>54</v>
      </c>
      <c r="D76" s="33">
        <v>73.250026790475331</v>
      </c>
      <c r="E76" s="27"/>
      <c r="F76" s="31" t="s">
        <v>193</v>
      </c>
      <c r="G76" s="27" t="s">
        <v>60</v>
      </c>
      <c r="H76" s="27" t="s">
        <v>186</v>
      </c>
    </row>
    <row r="77" spans="1:9" x14ac:dyDescent="0.25">
      <c r="A77" s="27" t="s">
        <v>187</v>
      </c>
      <c r="B77" s="27"/>
      <c r="C77" s="27" t="s">
        <v>54</v>
      </c>
      <c r="D77" s="33">
        <v>16.43865381141773</v>
      </c>
      <c r="E77" s="27"/>
      <c r="F77" s="31" t="s">
        <v>193</v>
      </c>
      <c r="G77" s="27" t="s">
        <v>60</v>
      </c>
      <c r="H77" s="27" t="s">
        <v>61</v>
      </c>
    </row>
    <row r="78" spans="1:9" x14ac:dyDescent="0.25">
      <c r="A78" s="27" t="s">
        <v>189</v>
      </c>
      <c r="B78" s="27" t="s">
        <v>188</v>
      </c>
      <c r="C78" s="27" t="s">
        <v>57</v>
      </c>
      <c r="D78" s="27">
        <f>'Natural gas credit AD'!B28</f>
        <v>0</v>
      </c>
      <c r="E78" s="27" t="s">
        <v>196</v>
      </c>
      <c r="F78" s="31" t="s">
        <v>192</v>
      </c>
      <c r="G78" s="27" t="s">
        <v>68</v>
      </c>
      <c r="H78" s="27"/>
    </row>
    <row r="80" spans="1:9" x14ac:dyDescent="0.25">
      <c r="D80" s="11"/>
    </row>
    <row r="81" spans="1:9" x14ac:dyDescent="0.25">
      <c r="A81" s="1" t="s">
        <v>2</v>
      </c>
      <c r="B81" t="s">
        <v>20</v>
      </c>
      <c r="C81" s="2"/>
      <c r="D81" s="2"/>
      <c r="E81" s="2"/>
      <c r="F81" s="2"/>
      <c r="G81" s="2"/>
      <c r="H81" s="2"/>
      <c r="I81" s="2"/>
    </row>
    <row r="82" spans="1:9" x14ac:dyDescent="0.25">
      <c r="A82" s="3" t="s">
        <v>3</v>
      </c>
      <c r="B82" t="s">
        <v>82</v>
      </c>
    </row>
    <row r="83" spans="1:9" x14ac:dyDescent="0.25">
      <c r="A83" s="4" t="s">
        <v>4</v>
      </c>
      <c r="B83" s="5" t="s">
        <v>5</v>
      </c>
      <c r="C83" s="5"/>
      <c r="D83" s="5"/>
      <c r="E83" s="5"/>
      <c r="F83" s="5"/>
      <c r="G83" s="5"/>
      <c r="H83" s="5"/>
      <c r="I83" s="5"/>
    </row>
    <row r="84" spans="1:9" x14ac:dyDescent="0.25">
      <c r="A84" s="4" t="s">
        <v>6</v>
      </c>
      <c r="B84" s="6">
        <v>1</v>
      </c>
      <c r="C84" s="5"/>
      <c r="D84" s="5"/>
      <c r="E84" s="5"/>
      <c r="F84" s="5"/>
      <c r="G84" s="5"/>
      <c r="H84" s="5"/>
      <c r="I84" s="5"/>
    </row>
    <row r="85" spans="1:9" x14ac:dyDescent="0.25">
      <c r="A85" s="4" t="s">
        <v>7</v>
      </c>
      <c r="B85" s="5" t="s">
        <v>8</v>
      </c>
      <c r="C85" s="5"/>
      <c r="D85" s="5"/>
      <c r="E85" s="5"/>
      <c r="F85" s="5"/>
      <c r="G85" s="5"/>
      <c r="H85" s="5"/>
      <c r="I85" s="5"/>
    </row>
    <row r="87" spans="1:9" x14ac:dyDescent="0.25">
      <c r="A87" s="3" t="s">
        <v>9</v>
      </c>
    </row>
    <row r="88" spans="1:9" x14ac:dyDescent="0.25">
      <c r="A88" s="3" t="s">
        <v>10</v>
      </c>
      <c r="B88" s="3" t="s">
        <v>11</v>
      </c>
      <c r="C88" s="3" t="s">
        <v>7</v>
      </c>
      <c r="D88" s="8" t="s">
        <v>12</v>
      </c>
      <c r="E88" s="3" t="s">
        <v>4</v>
      </c>
      <c r="F88" s="3" t="s">
        <v>13</v>
      </c>
      <c r="G88" s="3" t="s">
        <v>14</v>
      </c>
      <c r="H88" s="3" t="s">
        <v>15</v>
      </c>
      <c r="I88" t="s">
        <v>3</v>
      </c>
    </row>
    <row r="89" spans="1:9" x14ac:dyDescent="0.25">
      <c r="A89" t="str">
        <f>B81</f>
        <v>Landfill_terrebonne</v>
      </c>
      <c r="B89" t="s">
        <v>16</v>
      </c>
      <c r="C89" t="s">
        <v>8</v>
      </c>
      <c r="D89" s="12">
        <v>1</v>
      </c>
      <c r="E89" t="s">
        <v>5</v>
      </c>
      <c r="F89" t="str">
        <f>$B$1</f>
        <v>OWM Facilities</v>
      </c>
      <c r="G89" t="s">
        <v>17</v>
      </c>
    </row>
    <row r="90" spans="1:9" x14ac:dyDescent="0.25">
      <c r="A90" t="s">
        <v>45</v>
      </c>
      <c r="B90" t="s">
        <v>46</v>
      </c>
      <c r="C90" t="s">
        <v>44</v>
      </c>
      <c r="D90" s="14">
        <f>Transportation!B5</f>
        <v>15.6</v>
      </c>
      <c r="E90" t="s">
        <v>47</v>
      </c>
      <c r="F90" s="22" t="s">
        <v>192</v>
      </c>
      <c r="G90" t="s">
        <v>19</v>
      </c>
    </row>
    <row r="91" spans="1:9" x14ac:dyDescent="0.25">
      <c r="A91" s="27" t="s">
        <v>185</v>
      </c>
      <c r="B91" s="27" t="s">
        <v>176</v>
      </c>
      <c r="C91" s="27" t="str">
        <f>C75</f>
        <v>megajoule</v>
      </c>
      <c r="D91" s="27">
        <f>0.319/948.45138280892</f>
        <v>3.363377457000001E-4</v>
      </c>
      <c r="E91" s="27" t="s">
        <v>41</v>
      </c>
      <c r="F91" s="31" t="s">
        <v>192</v>
      </c>
      <c r="G91" s="27" t="s">
        <v>19</v>
      </c>
      <c r="H91" s="27"/>
    </row>
    <row r="92" spans="1:9" x14ac:dyDescent="0.25">
      <c r="A92" s="27" t="s">
        <v>135</v>
      </c>
      <c r="B92" s="27"/>
      <c r="C92" s="27" t="s">
        <v>54</v>
      </c>
      <c r="D92" s="33">
        <v>73.250026790475331</v>
      </c>
      <c r="E92" s="27"/>
      <c r="F92" s="31" t="s">
        <v>193</v>
      </c>
      <c r="G92" s="27" t="s">
        <v>60</v>
      </c>
      <c r="H92" s="27" t="s">
        <v>186</v>
      </c>
    </row>
    <row r="93" spans="1:9" x14ac:dyDescent="0.25">
      <c r="A93" s="27" t="s">
        <v>187</v>
      </c>
      <c r="B93" s="27"/>
      <c r="C93" s="27" t="s">
        <v>54</v>
      </c>
      <c r="D93" s="33">
        <v>16.43865381141773</v>
      </c>
      <c r="E93" s="27"/>
      <c r="F93" s="31" t="s">
        <v>193</v>
      </c>
      <c r="G93" s="27" t="s">
        <v>60</v>
      </c>
      <c r="H93" s="27" t="s">
        <v>61</v>
      </c>
    </row>
    <row r="94" spans="1:9" ht="18" x14ac:dyDescent="0.25">
      <c r="A94" s="27" t="s">
        <v>189</v>
      </c>
      <c r="B94" s="27" t="s">
        <v>188</v>
      </c>
      <c r="C94" s="27" t="s">
        <v>57</v>
      </c>
      <c r="D94" s="27">
        <f>'Natural gas credit AD'!B44</f>
        <v>0</v>
      </c>
      <c r="E94" s="27" t="s">
        <v>196</v>
      </c>
      <c r="F94" s="31" t="s">
        <v>192</v>
      </c>
      <c r="G94" s="27" t="s">
        <v>68</v>
      </c>
      <c r="H94" s="27"/>
      <c r="I94" s="16"/>
    </row>
    <row r="98" spans="1:9" x14ac:dyDescent="0.25">
      <c r="A98" s="1" t="s">
        <v>2</v>
      </c>
      <c r="B98" t="s">
        <v>21</v>
      </c>
      <c r="C98" s="2"/>
      <c r="D98" s="2"/>
      <c r="E98" s="2"/>
      <c r="F98" s="2"/>
      <c r="G98" s="2"/>
      <c r="H98" s="2"/>
      <c r="I98" s="2"/>
    </row>
    <row r="99" spans="1:9" x14ac:dyDescent="0.25">
      <c r="A99" s="3" t="s">
        <v>3</v>
      </c>
      <c r="B99" t="s">
        <v>82</v>
      </c>
    </row>
    <row r="100" spans="1:9" x14ac:dyDescent="0.25">
      <c r="A100" s="4" t="s">
        <v>4</v>
      </c>
      <c r="B100" s="5" t="s">
        <v>5</v>
      </c>
      <c r="C100" s="5"/>
      <c r="D100" s="5"/>
      <c r="E100" s="5"/>
      <c r="F100" s="5"/>
      <c r="G100" s="5"/>
      <c r="H100" s="5"/>
      <c r="I100" s="5"/>
    </row>
    <row r="101" spans="1:9" x14ac:dyDescent="0.25">
      <c r="A101" s="4" t="s">
        <v>6</v>
      </c>
      <c r="B101" s="6">
        <v>1</v>
      </c>
      <c r="C101" s="5"/>
      <c r="D101" s="5"/>
      <c r="E101" s="5"/>
      <c r="F101" s="5"/>
      <c r="G101" s="5"/>
      <c r="H101" s="5"/>
      <c r="I101" s="5"/>
    </row>
    <row r="102" spans="1:9" x14ac:dyDescent="0.25">
      <c r="A102" s="4" t="s">
        <v>7</v>
      </c>
      <c r="B102" s="5" t="s">
        <v>8</v>
      </c>
      <c r="C102" s="5"/>
      <c r="D102" s="5"/>
      <c r="E102" s="5"/>
      <c r="F102" s="5"/>
      <c r="G102" s="5"/>
      <c r="H102" s="5"/>
      <c r="I102" s="5"/>
    </row>
    <row r="104" spans="1:9" x14ac:dyDescent="0.25">
      <c r="A104" s="3" t="s">
        <v>9</v>
      </c>
    </row>
    <row r="105" spans="1:9" x14ac:dyDescent="0.25">
      <c r="A105" s="3" t="s">
        <v>10</v>
      </c>
      <c r="B105" s="3" t="s">
        <v>11</v>
      </c>
      <c r="C105" s="3" t="s">
        <v>7</v>
      </c>
      <c r="D105" s="8" t="s">
        <v>12</v>
      </c>
      <c r="E105" s="3" t="s">
        <v>4</v>
      </c>
      <c r="F105" s="3" t="s">
        <v>13</v>
      </c>
      <c r="G105" s="3" t="s">
        <v>14</v>
      </c>
      <c r="H105" s="3" t="s">
        <v>15</v>
      </c>
      <c r="I105" t="s">
        <v>3</v>
      </c>
    </row>
    <row r="106" spans="1:9" x14ac:dyDescent="0.25">
      <c r="A106" t="str">
        <f>B98</f>
        <v>Landfill_saint_thomas</v>
      </c>
      <c r="B106" t="s">
        <v>16</v>
      </c>
      <c r="C106" t="s">
        <v>8</v>
      </c>
      <c r="D106" s="12">
        <v>1</v>
      </c>
      <c r="E106" t="s">
        <v>5</v>
      </c>
      <c r="F106" t="str">
        <f>$B$1</f>
        <v>OWM Facilities</v>
      </c>
      <c r="G106" t="s">
        <v>17</v>
      </c>
    </row>
    <row r="107" spans="1:9" x14ac:dyDescent="0.25">
      <c r="A107" s="27" t="s">
        <v>45</v>
      </c>
      <c r="B107" s="27" t="s">
        <v>46</v>
      </c>
      <c r="C107" s="27" t="s">
        <v>44</v>
      </c>
      <c r="D107" s="33">
        <f>Transportation!B6</f>
        <v>59.6</v>
      </c>
      <c r="E107" s="27" t="s">
        <v>47</v>
      </c>
      <c r="F107" s="31" t="s">
        <v>192</v>
      </c>
      <c r="G107" s="27" t="s">
        <v>19</v>
      </c>
      <c r="H107" s="27"/>
    </row>
    <row r="108" spans="1:9" x14ac:dyDescent="0.25">
      <c r="A108" s="27" t="s">
        <v>185</v>
      </c>
      <c r="B108" s="27" t="s">
        <v>176</v>
      </c>
      <c r="C108" s="27" t="str">
        <f>C91</f>
        <v>megajoule</v>
      </c>
      <c r="D108" s="27">
        <f>D91</f>
        <v>3.363377457000001E-4</v>
      </c>
      <c r="E108" s="27" t="s">
        <v>41</v>
      </c>
      <c r="F108" s="31" t="s">
        <v>192</v>
      </c>
      <c r="G108" s="27" t="s">
        <v>19</v>
      </c>
      <c r="H108" s="27"/>
    </row>
    <row r="109" spans="1:9" x14ac:dyDescent="0.25">
      <c r="A109" s="27" t="s">
        <v>135</v>
      </c>
      <c r="B109" s="27"/>
      <c r="C109" s="27" t="s">
        <v>54</v>
      </c>
      <c r="D109" s="33">
        <v>73.250026790475331</v>
      </c>
      <c r="E109" s="27"/>
      <c r="F109" s="31" t="s">
        <v>193</v>
      </c>
      <c r="G109" s="27" t="s">
        <v>60</v>
      </c>
      <c r="H109" s="27" t="s">
        <v>186</v>
      </c>
    </row>
    <row r="110" spans="1:9" x14ac:dyDescent="0.25">
      <c r="A110" s="27" t="s">
        <v>187</v>
      </c>
      <c r="B110" s="27"/>
      <c r="C110" s="27" t="s">
        <v>54</v>
      </c>
      <c r="D110" s="33">
        <v>16.43865381141773</v>
      </c>
      <c r="E110" s="27"/>
      <c r="F110" s="31" t="s">
        <v>193</v>
      </c>
      <c r="G110" s="27" t="s">
        <v>60</v>
      </c>
      <c r="H110" s="27" t="s">
        <v>61</v>
      </c>
    </row>
    <row r="111" spans="1:9" x14ac:dyDescent="0.25">
      <c r="A111" s="27" t="s">
        <v>189</v>
      </c>
      <c r="B111" s="27" t="s">
        <v>188</v>
      </c>
      <c r="C111" s="27" t="s">
        <v>57</v>
      </c>
      <c r="D111" s="27">
        <f>'Natural gas credit AD'!B61</f>
        <v>0</v>
      </c>
      <c r="E111" s="27" t="s">
        <v>196</v>
      </c>
      <c r="F111" s="31" t="s">
        <v>192</v>
      </c>
      <c r="G111" s="27" t="s">
        <v>68</v>
      </c>
      <c r="H111" s="27"/>
    </row>
    <row r="112" spans="1:9" x14ac:dyDescent="0.25">
      <c r="D112" s="10"/>
    </row>
    <row r="113" spans="1:9" x14ac:dyDescent="0.25">
      <c r="D113" s="11"/>
    </row>
    <row r="114" spans="1:9" x14ac:dyDescent="0.25">
      <c r="D114" s="11"/>
    </row>
    <row r="115" spans="1:9" x14ac:dyDescent="0.25">
      <c r="D115" s="11"/>
    </row>
    <row r="116" spans="1:9" x14ac:dyDescent="0.25">
      <c r="D116" s="11"/>
    </row>
    <row r="117" spans="1:9" x14ac:dyDescent="0.25">
      <c r="A117" s="1" t="s">
        <v>2</v>
      </c>
      <c r="B117" t="s">
        <v>22</v>
      </c>
      <c r="C117" s="2"/>
      <c r="D117" s="2"/>
      <c r="E117" s="2"/>
      <c r="F117" s="2"/>
      <c r="G117" s="2"/>
      <c r="H117" s="2"/>
      <c r="I117" s="2"/>
    </row>
    <row r="118" spans="1:9" x14ac:dyDescent="0.25">
      <c r="A118" s="3" t="s">
        <v>3</v>
      </c>
      <c r="B118" t="s">
        <v>82</v>
      </c>
    </row>
    <row r="119" spans="1:9" x14ac:dyDescent="0.25">
      <c r="A119" s="4" t="s">
        <v>4</v>
      </c>
      <c r="B119" s="5" t="s">
        <v>5</v>
      </c>
      <c r="C119" s="5"/>
      <c r="D119" s="5"/>
      <c r="E119" s="5"/>
      <c r="F119" s="5"/>
      <c r="G119" s="5"/>
      <c r="H119" s="5"/>
      <c r="I119" s="5"/>
    </row>
    <row r="120" spans="1:9" x14ac:dyDescent="0.25">
      <c r="A120" s="4" t="s">
        <v>6</v>
      </c>
      <c r="B120" s="6">
        <v>1</v>
      </c>
      <c r="C120" s="5"/>
      <c r="D120" s="5"/>
      <c r="E120" s="5"/>
      <c r="F120" s="5"/>
      <c r="G120" s="5"/>
      <c r="H120" s="5"/>
      <c r="I120" s="5"/>
    </row>
    <row r="121" spans="1:9" x14ac:dyDescent="0.25">
      <c r="A121" s="4" t="s">
        <v>7</v>
      </c>
      <c r="B121" s="5" t="s">
        <v>8</v>
      </c>
      <c r="C121" s="5"/>
      <c r="D121" s="5"/>
      <c r="E121" s="5"/>
      <c r="F121" s="5"/>
      <c r="G121" s="5"/>
      <c r="H121" s="5"/>
      <c r="I121" s="5"/>
    </row>
    <row r="123" spans="1:9" x14ac:dyDescent="0.25">
      <c r="A123" s="3" t="s">
        <v>9</v>
      </c>
      <c r="I123" s="15"/>
    </row>
    <row r="124" spans="1:9" x14ac:dyDescent="0.25">
      <c r="A124" s="3" t="s">
        <v>10</v>
      </c>
      <c r="B124" s="3" t="s">
        <v>11</v>
      </c>
      <c r="C124" s="3" t="s">
        <v>7</v>
      </c>
      <c r="D124" s="8" t="s">
        <v>12</v>
      </c>
      <c r="E124" s="3" t="s">
        <v>4</v>
      </c>
      <c r="F124" s="3" t="s">
        <v>13</v>
      </c>
      <c r="G124" s="3" t="s">
        <v>14</v>
      </c>
      <c r="H124" s="3" t="s">
        <v>15</v>
      </c>
      <c r="I124" t="s">
        <v>3</v>
      </c>
    </row>
    <row r="125" spans="1:9" x14ac:dyDescent="0.25">
      <c r="A125" t="str">
        <f>B117</f>
        <v>Landfill_lachute</v>
      </c>
      <c r="B125" t="s">
        <v>16</v>
      </c>
      <c r="C125" t="s">
        <v>8</v>
      </c>
      <c r="D125" s="12">
        <v>1</v>
      </c>
      <c r="E125" t="s">
        <v>5</v>
      </c>
      <c r="F125" t="str">
        <f>$B$1</f>
        <v>OWM Facilities</v>
      </c>
      <c r="G125" t="s">
        <v>17</v>
      </c>
    </row>
    <row r="126" spans="1:9" x14ac:dyDescent="0.25">
      <c r="A126" s="27" t="s">
        <v>45</v>
      </c>
      <c r="B126" s="27" t="s">
        <v>46</v>
      </c>
      <c r="C126" s="27" t="s">
        <v>44</v>
      </c>
      <c r="D126" s="33">
        <f>Transportation!B7</f>
        <v>77.400000000000006</v>
      </c>
      <c r="E126" s="27" t="s">
        <v>47</v>
      </c>
      <c r="F126" s="31" t="s">
        <v>192</v>
      </c>
      <c r="G126" s="27" t="s">
        <v>19</v>
      </c>
      <c r="H126" s="27"/>
    </row>
    <row r="127" spans="1:9" x14ac:dyDescent="0.25">
      <c r="A127" s="27" t="s">
        <v>185</v>
      </c>
      <c r="B127" s="27" t="s">
        <v>176</v>
      </c>
      <c r="C127" s="27" t="s">
        <v>73</v>
      </c>
      <c r="D127" s="27">
        <f>D108</f>
        <v>3.363377457000001E-4</v>
      </c>
      <c r="E127" s="27" t="s">
        <v>41</v>
      </c>
      <c r="F127" s="31" t="s">
        <v>192</v>
      </c>
      <c r="G127" s="27" t="s">
        <v>19</v>
      </c>
      <c r="H127" s="27"/>
    </row>
    <row r="128" spans="1:9" x14ac:dyDescent="0.25">
      <c r="A128" s="27" t="s">
        <v>135</v>
      </c>
      <c r="B128" s="27"/>
      <c r="C128" s="27" t="s">
        <v>54</v>
      </c>
      <c r="D128" s="33">
        <v>73.250026790475331</v>
      </c>
      <c r="E128" s="27"/>
      <c r="F128" s="31" t="s">
        <v>193</v>
      </c>
      <c r="G128" s="27" t="s">
        <v>60</v>
      </c>
      <c r="H128" s="27" t="s">
        <v>186</v>
      </c>
    </row>
    <row r="129" spans="1:9" x14ac:dyDescent="0.25">
      <c r="A129" s="27" t="s">
        <v>187</v>
      </c>
      <c r="B129" s="27"/>
      <c r="C129" s="27" t="s">
        <v>54</v>
      </c>
      <c r="D129" s="33">
        <v>16.43865381141773</v>
      </c>
      <c r="E129" s="27"/>
      <c r="F129" s="31" t="s">
        <v>193</v>
      </c>
      <c r="G129" s="27" t="s">
        <v>60</v>
      </c>
      <c r="H129" s="27" t="s">
        <v>61</v>
      </c>
    </row>
    <row r="130" spans="1:9" x14ac:dyDescent="0.25">
      <c r="A130" s="27" t="s">
        <v>34</v>
      </c>
      <c r="B130" s="27" t="s">
        <v>35</v>
      </c>
      <c r="C130" s="27" t="s">
        <v>36</v>
      </c>
      <c r="D130" s="27">
        <f>-87.3257750709899*0.90718474</f>
        <v>-79.220610553074465</v>
      </c>
      <c r="E130" s="27" t="s">
        <v>5</v>
      </c>
      <c r="F130" s="31" t="s">
        <v>192</v>
      </c>
      <c r="G130" s="27" t="s">
        <v>68</v>
      </c>
      <c r="H130" s="27"/>
    </row>
    <row r="133" spans="1:9" x14ac:dyDescent="0.25">
      <c r="A133" s="1" t="s">
        <v>2</v>
      </c>
      <c r="B133" t="s">
        <v>23</v>
      </c>
      <c r="C133" s="2"/>
      <c r="D133" s="2"/>
      <c r="E133" s="2"/>
      <c r="F133" s="2"/>
      <c r="G133" s="2"/>
      <c r="H133" s="2"/>
      <c r="I133" s="2"/>
    </row>
    <row r="134" spans="1:9" x14ac:dyDescent="0.25">
      <c r="A134" s="3" t="s">
        <v>3</v>
      </c>
      <c r="B134" t="s">
        <v>82</v>
      </c>
    </row>
    <row r="135" spans="1:9" x14ac:dyDescent="0.25">
      <c r="A135" s="4" t="s">
        <v>4</v>
      </c>
      <c r="B135" s="5" t="s">
        <v>5</v>
      </c>
      <c r="C135" s="5"/>
      <c r="D135" s="5"/>
      <c r="E135" s="5"/>
      <c r="F135" s="5"/>
      <c r="G135" s="5"/>
      <c r="H135" s="5"/>
      <c r="I135" s="5"/>
    </row>
    <row r="136" spans="1:9" x14ac:dyDescent="0.25">
      <c r="A136" s="4" t="s">
        <v>6</v>
      </c>
      <c r="B136" s="6">
        <v>1</v>
      </c>
      <c r="C136" s="5"/>
      <c r="D136" s="5"/>
      <c r="E136" s="5"/>
      <c r="F136" s="5"/>
      <c r="G136" s="5"/>
      <c r="H136" s="5"/>
      <c r="I136" s="5"/>
    </row>
    <row r="137" spans="1:9" x14ac:dyDescent="0.25">
      <c r="A137" s="4" t="s">
        <v>7</v>
      </c>
      <c r="B137" s="5" t="s">
        <v>8</v>
      </c>
      <c r="C137" s="5"/>
      <c r="D137" s="5"/>
      <c r="E137" s="5"/>
      <c r="F137" s="5"/>
      <c r="G137" s="5"/>
      <c r="H137" s="5"/>
      <c r="I137" s="5"/>
    </row>
    <row r="139" spans="1:9" x14ac:dyDescent="0.25">
      <c r="A139" s="3" t="s">
        <v>9</v>
      </c>
    </row>
    <row r="140" spans="1:9" x14ac:dyDescent="0.25">
      <c r="A140" s="3" t="s">
        <v>10</v>
      </c>
      <c r="B140" s="3" t="s">
        <v>11</v>
      </c>
      <c r="C140" s="3" t="s">
        <v>7</v>
      </c>
      <c r="D140" s="8" t="s">
        <v>12</v>
      </c>
      <c r="E140" s="3" t="s">
        <v>4</v>
      </c>
      <c r="F140" s="3" t="s">
        <v>13</v>
      </c>
      <c r="G140" s="3" t="s">
        <v>14</v>
      </c>
      <c r="H140" s="3" t="s">
        <v>15</v>
      </c>
      <c r="I140" t="s">
        <v>3</v>
      </c>
    </row>
    <row r="141" spans="1:9" x14ac:dyDescent="0.25">
      <c r="A141" t="str">
        <f>B133</f>
        <v>Landfill_st-nicephore</v>
      </c>
      <c r="B141" t="s">
        <v>16</v>
      </c>
      <c r="C141" t="s">
        <v>8</v>
      </c>
      <c r="D141" s="12">
        <v>1</v>
      </c>
      <c r="E141" t="s">
        <v>5</v>
      </c>
      <c r="F141" t="str">
        <f>$B$1</f>
        <v>OWM Facilities</v>
      </c>
      <c r="G141" t="s">
        <v>17</v>
      </c>
    </row>
    <row r="142" spans="1:9" x14ac:dyDescent="0.25">
      <c r="A142" t="s">
        <v>45</v>
      </c>
      <c r="B142" t="s">
        <v>46</v>
      </c>
      <c r="C142" t="s">
        <v>44</v>
      </c>
      <c r="D142" s="14">
        <f>Transportation!B9</f>
        <v>120</v>
      </c>
      <c r="E142" t="s">
        <v>47</v>
      </c>
      <c r="F142" s="22" t="s">
        <v>192</v>
      </c>
      <c r="G142" t="s">
        <v>19</v>
      </c>
    </row>
    <row r="143" spans="1:9" x14ac:dyDescent="0.25">
      <c r="A143" s="27" t="s">
        <v>185</v>
      </c>
      <c r="B143" s="27" t="s">
        <v>176</v>
      </c>
      <c r="C143" s="27" t="s">
        <v>73</v>
      </c>
      <c r="D143" s="33">
        <v>3.363377457000001E-4</v>
      </c>
      <c r="E143" s="27" t="s">
        <v>41</v>
      </c>
      <c r="F143" s="31" t="s">
        <v>192</v>
      </c>
      <c r="G143" s="27" t="s">
        <v>19</v>
      </c>
      <c r="H143" s="27"/>
    </row>
    <row r="144" spans="1:9" x14ac:dyDescent="0.25">
      <c r="A144" s="27" t="s">
        <v>135</v>
      </c>
      <c r="B144" s="27"/>
      <c r="C144" s="27" t="s">
        <v>54</v>
      </c>
      <c r="D144" s="33">
        <v>73.250026790475331</v>
      </c>
      <c r="E144" s="27"/>
      <c r="F144" s="31" t="s">
        <v>193</v>
      </c>
      <c r="G144" s="27" t="s">
        <v>60</v>
      </c>
      <c r="H144" s="27" t="s">
        <v>186</v>
      </c>
    </row>
    <row r="145" spans="1:9" x14ac:dyDescent="0.25">
      <c r="A145" s="27" t="s">
        <v>187</v>
      </c>
      <c r="B145" s="27"/>
      <c r="C145" s="27" t="s">
        <v>54</v>
      </c>
      <c r="D145" s="33">
        <v>16.43865381141773</v>
      </c>
      <c r="E145" s="27"/>
      <c r="F145" s="31" t="s">
        <v>193</v>
      </c>
      <c r="G145" s="27" t="s">
        <v>60</v>
      </c>
      <c r="H145" s="27" t="s">
        <v>61</v>
      </c>
    </row>
    <row r="146" spans="1:9" x14ac:dyDescent="0.25">
      <c r="A146" s="27" t="s">
        <v>34</v>
      </c>
      <c r="B146" s="27" t="s">
        <v>35</v>
      </c>
      <c r="C146" s="27" t="s">
        <v>36</v>
      </c>
      <c r="D146" s="27">
        <f>-87.3257750709899*0.90718474</f>
        <v>-79.220610553074465</v>
      </c>
      <c r="E146" s="27" t="str">
        <f>E141</f>
        <v>CA-QC</v>
      </c>
      <c r="F146" s="31" t="s">
        <v>192</v>
      </c>
      <c r="G146" s="27" t="s">
        <v>68</v>
      </c>
      <c r="H146" s="27"/>
    </row>
    <row r="149" spans="1:9" x14ac:dyDescent="0.25">
      <c r="A149" s="1" t="s">
        <v>2</v>
      </c>
      <c r="B149" t="s">
        <v>24</v>
      </c>
      <c r="C149" s="2"/>
      <c r="D149" s="2"/>
      <c r="E149" s="2"/>
      <c r="F149" s="2"/>
      <c r="G149" s="2"/>
      <c r="H149" s="2"/>
      <c r="I149" s="2"/>
    </row>
    <row r="150" spans="1:9" x14ac:dyDescent="0.25">
      <c r="A150" s="3" t="s">
        <v>3</v>
      </c>
      <c r="B150" t="s">
        <v>82</v>
      </c>
    </row>
    <row r="151" spans="1:9" x14ac:dyDescent="0.25">
      <c r="A151" s="4" t="s">
        <v>4</v>
      </c>
      <c r="B151" s="5" t="s">
        <v>5</v>
      </c>
      <c r="C151" s="5"/>
      <c r="D151" s="5"/>
      <c r="E151" s="5"/>
      <c r="F151" s="5"/>
      <c r="G151" s="5"/>
      <c r="H151" s="5"/>
      <c r="I151" s="5"/>
    </row>
    <row r="152" spans="1:9" x14ac:dyDescent="0.25">
      <c r="A152" s="4" t="s">
        <v>6</v>
      </c>
      <c r="B152" s="6">
        <v>1</v>
      </c>
      <c r="C152" s="5"/>
      <c r="D152" s="5"/>
      <c r="E152" s="5"/>
      <c r="F152" s="5"/>
      <c r="G152" s="5"/>
      <c r="H152" s="5"/>
      <c r="I152" s="5"/>
    </row>
    <row r="153" spans="1:9" x14ac:dyDescent="0.25">
      <c r="A153" s="4" t="s">
        <v>7</v>
      </c>
      <c r="B153" s="5" t="s">
        <v>8</v>
      </c>
      <c r="C153" s="5"/>
      <c r="D153" s="5"/>
      <c r="E153" s="5"/>
      <c r="F153" s="5"/>
      <c r="G153" s="5"/>
      <c r="H153" s="5"/>
      <c r="I153" s="5"/>
    </row>
    <row r="155" spans="1:9" x14ac:dyDescent="0.25">
      <c r="A155" s="3" t="s">
        <v>9</v>
      </c>
    </row>
    <row r="156" spans="1:9" x14ac:dyDescent="0.25">
      <c r="A156" s="3" t="s">
        <v>10</v>
      </c>
      <c r="B156" s="3" t="s">
        <v>11</v>
      </c>
      <c r="C156" s="3" t="s">
        <v>7</v>
      </c>
      <c r="D156" s="8" t="s">
        <v>12</v>
      </c>
      <c r="E156" s="3" t="s">
        <v>4</v>
      </c>
      <c r="F156" s="3" t="s">
        <v>13</v>
      </c>
      <c r="G156" s="3" t="s">
        <v>14</v>
      </c>
      <c r="H156" s="3" t="s">
        <v>15</v>
      </c>
      <c r="I156" t="s">
        <v>3</v>
      </c>
    </row>
    <row r="157" spans="1:9" x14ac:dyDescent="0.25">
      <c r="A157" t="str">
        <f>B149</f>
        <v>Landfill_cecile_de_milton</v>
      </c>
      <c r="B157" t="s">
        <v>16</v>
      </c>
      <c r="C157" t="s">
        <v>8</v>
      </c>
      <c r="D157" s="12">
        <v>1</v>
      </c>
      <c r="E157" t="s">
        <v>5</v>
      </c>
      <c r="F157" t="str">
        <f>$B$1</f>
        <v>OWM Facilities</v>
      </c>
      <c r="G157" t="s">
        <v>17</v>
      </c>
    </row>
    <row r="158" spans="1:9" x14ac:dyDescent="0.25">
      <c r="A158" s="27" t="s">
        <v>45</v>
      </c>
      <c r="B158" s="27" t="s">
        <v>46</v>
      </c>
      <c r="C158" s="27" t="s">
        <v>44</v>
      </c>
      <c r="D158" s="33">
        <f>Transportation!B10</f>
        <v>86</v>
      </c>
      <c r="E158" s="27" t="s">
        <v>47</v>
      </c>
      <c r="F158" s="31" t="s">
        <v>192</v>
      </c>
      <c r="G158" s="27" t="s">
        <v>19</v>
      </c>
      <c r="H158" s="27"/>
    </row>
    <row r="159" spans="1:9" x14ac:dyDescent="0.25">
      <c r="A159" s="27" t="s">
        <v>185</v>
      </c>
      <c r="B159" s="27" t="s">
        <v>176</v>
      </c>
      <c r="C159" s="27" t="s">
        <v>73</v>
      </c>
      <c r="D159" s="33">
        <v>3.363377457000001E-4</v>
      </c>
      <c r="E159" s="27" t="s">
        <v>41</v>
      </c>
      <c r="F159" s="31" t="s">
        <v>192</v>
      </c>
      <c r="G159" s="27" t="s">
        <v>19</v>
      </c>
      <c r="H159" s="27"/>
    </row>
    <row r="160" spans="1:9" x14ac:dyDescent="0.25">
      <c r="A160" s="27" t="s">
        <v>135</v>
      </c>
      <c r="B160" s="27"/>
      <c r="C160" s="27" t="s">
        <v>54</v>
      </c>
      <c r="D160" s="33">
        <f>'[1]Landfill LCA'!$M$23*0.90718474*1000</f>
        <v>73.250026790475331</v>
      </c>
      <c r="E160" s="27"/>
      <c r="F160" s="31" t="s">
        <v>193</v>
      </c>
      <c r="G160" s="27" t="s">
        <v>60</v>
      </c>
      <c r="H160" s="27" t="s">
        <v>186</v>
      </c>
    </row>
    <row r="161" spans="1:9" x14ac:dyDescent="0.25">
      <c r="A161" s="27" t="s">
        <v>187</v>
      </c>
      <c r="B161" s="27"/>
      <c r="C161" s="27" t="s">
        <v>54</v>
      </c>
      <c r="D161" s="33">
        <f>'[1]Landfill LCA'!$W$27*0.90718474*1000</f>
        <v>16.43865381141773</v>
      </c>
      <c r="E161" s="27"/>
      <c r="F161" s="31" t="s">
        <v>193</v>
      </c>
      <c r="G161" s="27" t="s">
        <v>60</v>
      </c>
      <c r="H161" s="27" t="s">
        <v>61</v>
      </c>
    </row>
    <row r="162" spans="1:9" x14ac:dyDescent="0.25">
      <c r="A162" s="27" t="s">
        <v>34</v>
      </c>
      <c r="B162" s="27" t="s">
        <v>35</v>
      </c>
      <c r="C162" s="27" t="s">
        <v>36</v>
      </c>
      <c r="D162" s="27">
        <f>-87.3257750709899*0.90718474</f>
        <v>-79.220610553074465</v>
      </c>
      <c r="E162" s="27" t="str">
        <f>E157</f>
        <v>CA-QC</v>
      </c>
      <c r="F162" s="31" t="s">
        <v>192</v>
      </c>
      <c r="G162" s="27" t="s">
        <v>68</v>
      </c>
      <c r="H162" s="27"/>
    </row>
    <row r="164" spans="1:9" x14ac:dyDescent="0.25">
      <c r="A164" s="1" t="s">
        <v>2</v>
      </c>
      <c r="B164" t="s">
        <v>25</v>
      </c>
      <c r="C164" s="2"/>
      <c r="D164" s="2"/>
      <c r="E164" s="2"/>
      <c r="F164" s="2"/>
      <c r="G164" s="2"/>
      <c r="H164" s="2"/>
      <c r="I164" s="2"/>
    </row>
    <row r="165" spans="1:9" x14ac:dyDescent="0.25">
      <c r="A165" s="3" t="s">
        <v>3</v>
      </c>
      <c r="B165" t="s">
        <v>150</v>
      </c>
    </row>
    <row r="166" spans="1:9" x14ac:dyDescent="0.25">
      <c r="A166" s="4" t="s">
        <v>4</v>
      </c>
      <c r="B166" s="5" t="s">
        <v>5</v>
      </c>
      <c r="C166" s="5"/>
      <c r="D166" s="5"/>
      <c r="E166" s="5"/>
      <c r="F166" s="5"/>
      <c r="G166" s="5"/>
      <c r="H166" s="5"/>
      <c r="I166" s="5"/>
    </row>
    <row r="167" spans="1:9" x14ac:dyDescent="0.25">
      <c r="A167" s="4" t="s">
        <v>6</v>
      </c>
      <c r="B167" s="6">
        <v>1</v>
      </c>
      <c r="C167" s="5"/>
      <c r="D167" s="5"/>
      <c r="E167" s="5"/>
      <c r="F167" s="5"/>
      <c r="G167" s="5"/>
      <c r="H167" s="5"/>
      <c r="I167" s="5"/>
    </row>
    <row r="168" spans="1:9" x14ac:dyDescent="0.25">
      <c r="A168" s="4" t="s">
        <v>7</v>
      </c>
      <c r="B168" s="7" t="s">
        <v>8</v>
      </c>
      <c r="C168" s="5"/>
      <c r="D168" s="5"/>
      <c r="E168" s="5"/>
      <c r="F168" s="5"/>
      <c r="G168" s="5"/>
      <c r="H168" s="5"/>
      <c r="I168" s="5"/>
    </row>
    <row r="170" spans="1:9" x14ac:dyDescent="0.25">
      <c r="A170" s="3" t="s">
        <v>9</v>
      </c>
    </row>
    <row r="171" spans="1:9" x14ac:dyDescent="0.25">
      <c r="A171" s="3" t="s">
        <v>10</v>
      </c>
      <c r="B171" s="3" t="s">
        <v>11</v>
      </c>
      <c r="C171" s="3" t="s">
        <v>7</v>
      </c>
      <c r="D171" s="8" t="s">
        <v>12</v>
      </c>
      <c r="E171" s="3" t="s">
        <v>4</v>
      </c>
      <c r="F171" s="3" t="s">
        <v>13</v>
      </c>
      <c r="G171" s="3" t="s">
        <v>14</v>
      </c>
      <c r="H171" s="3" t="s">
        <v>15</v>
      </c>
      <c r="I171" t="s">
        <v>3</v>
      </c>
    </row>
    <row r="172" spans="1:9" x14ac:dyDescent="0.25">
      <c r="A172" t="str">
        <f>B164</f>
        <v>Composter_casselman</v>
      </c>
      <c r="B172" t="s">
        <v>16</v>
      </c>
      <c r="C172" t="s">
        <v>8</v>
      </c>
      <c r="D172" s="9">
        <v>1</v>
      </c>
      <c r="E172" t="s">
        <v>5</v>
      </c>
      <c r="F172" t="str">
        <f>$B$1</f>
        <v>OWM Facilities</v>
      </c>
      <c r="G172" t="s">
        <v>17</v>
      </c>
      <c r="H172" s="3"/>
      <c r="I172" t="s">
        <v>33</v>
      </c>
    </row>
    <row r="173" spans="1:9" x14ac:dyDescent="0.25">
      <c r="A173" s="28" t="s">
        <v>34</v>
      </c>
      <c r="B173" s="27" t="s">
        <v>35</v>
      </c>
      <c r="C173" s="27" t="s">
        <v>36</v>
      </c>
      <c r="D173" s="27">
        <v>1.6772116902968379</v>
      </c>
      <c r="E173" s="27" t="s">
        <v>5</v>
      </c>
      <c r="F173" s="31" t="s">
        <v>192</v>
      </c>
      <c r="G173" s="27" t="s">
        <v>19</v>
      </c>
      <c r="H173" s="27"/>
      <c r="I173" s="27" t="s">
        <v>37</v>
      </c>
    </row>
    <row r="174" spans="1:9" x14ac:dyDescent="0.25">
      <c r="A174" s="27" t="s">
        <v>201</v>
      </c>
      <c r="B174" s="27" t="s">
        <v>202</v>
      </c>
      <c r="C174" s="27" t="s">
        <v>54</v>
      </c>
      <c r="D174" s="33">
        <v>2.5320055641349066</v>
      </c>
      <c r="E174" s="27" t="s">
        <v>50</v>
      </c>
      <c r="F174" s="31" t="s">
        <v>192</v>
      </c>
      <c r="G174" s="27" t="s">
        <v>19</v>
      </c>
      <c r="H174" s="27"/>
      <c r="I174" s="27" t="s">
        <v>37</v>
      </c>
    </row>
    <row r="175" spans="1:9" x14ac:dyDescent="0.25">
      <c r="A175" s="27" t="s">
        <v>45</v>
      </c>
      <c r="B175" s="27" t="s">
        <v>46</v>
      </c>
      <c r="C175" s="27" t="s">
        <v>44</v>
      </c>
      <c r="D175" s="30">
        <f>Transportation!B11</f>
        <v>170</v>
      </c>
      <c r="E175" s="27" t="s">
        <v>47</v>
      </c>
      <c r="F175" s="31" t="s">
        <v>192</v>
      </c>
      <c r="G175" s="27" t="s">
        <v>19</v>
      </c>
      <c r="H175" s="27"/>
      <c r="I175" s="27" t="s">
        <v>37</v>
      </c>
    </row>
    <row r="176" spans="1:9" x14ac:dyDescent="0.25">
      <c r="A176" s="27" t="s">
        <v>195</v>
      </c>
      <c r="B176" s="27" t="s">
        <v>56</v>
      </c>
      <c r="C176" s="27" t="s">
        <v>57</v>
      </c>
      <c r="D176" s="27">
        <v>7.28915519494213</v>
      </c>
      <c r="E176" s="27" t="s">
        <v>5</v>
      </c>
      <c r="F176" s="31" t="s">
        <v>192</v>
      </c>
      <c r="G176" s="27" t="s">
        <v>19</v>
      </c>
      <c r="H176" s="27"/>
      <c r="I176" s="27" t="s">
        <v>33</v>
      </c>
    </row>
    <row r="177" spans="1:9" x14ac:dyDescent="0.25">
      <c r="A177" s="27" t="s">
        <v>63</v>
      </c>
      <c r="B177" s="27"/>
      <c r="C177" s="27" t="s">
        <v>54</v>
      </c>
      <c r="D177" s="27">
        <v>5.6135340059469772E-4</v>
      </c>
      <c r="E177" s="27"/>
      <c r="F177" s="31" t="s">
        <v>193</v>
      </c>
      <c r="G177" s="27" t="s">
        <v>60</v>
      </c>
      <c r="H177" s="27" t="s">
        <v>61</v>
      </c>
      <c r="I177" s="27" t="s">
        <v>33</v>
      </c>
    </row>
    <row r="178" spans="1:9" x14ac:dyDescent="0.25">
      <c r="A178" s="27" t="s">
        <v>65</v>
      </c>
      <c r="B178" s="27"/>
      <c r="C178" s="27" t="s">
        <v>54</v>
      </c>
      <c r="D178" s="27">
        <v>1.3472481614272745E-5</v>
      </c>
      <c r="E178" s="27"/>
      <c r="F178" s="31" t="s">
        <v>193</v>
      </c>
      <c r="G178" s="27" t="s">
        <v>60</v>
      </c>
      <c r="H178" s="27" t="s">
        <v>61</v>
      </c>
      <c r="I178" s="27" t="s">
        <v>33</v>
      </c>
    </row>
    <row r="179" spans="1:9" x14ac:dyDescent="0.25">
      <c r="A179" s="27" t="s">
        <v>67</v>
      </c>
      <c r="B179" s="27"/>
      <c r="C179" s="27" t="s">
        <v>54</v>
      </c>
      <c r="D179" s="30">
        <v>2.6570727628149027E-3</v>
      </c>
      <c r="E179" s="27"/>
      <c r="F179" s="31" t="s">
        <v>193</v>
      </c>
      <c r="G179" s="27" t="s">
        <v>60</v>
      </c>
      <c r="H179" s="27" t="s">
        <v>61</v>
      </c>
      <c r="I179" s="27" t="s">
        <v>33</v>
      </c>
    </row>
    <row r="180" spans="1:9" x14ac:dyDescent="0.25">
      <c r="A180" s="27" t="s">
        <v>197</v>
      </c>
      <c r="B180" s="27"/>
      <c r="C180" s="27" t="s">
        <v>54</v>
      </c>
      <c r="D180" s="32">
        <v>1.0852832411497491E-3</v>
      </c>
      <c r="E180" s="27"/>
      <c r="F180" s="31" t="s">
        <v>193</v>
      </c>
      <c r="G180" s="27" t="s">
        <v>60</v>
      </c>
      <c r="H180" s="27" t="s">
        <v>61</v>
      </c>
      <c r="I180" s="27" t="s">
        <v>33</v>
      </c>
    </row>
    <row r="181" spans="1:9" x14ac:dyDescent="0.25">
      <c r="A181" s="27" t="s">
        <v>182</v>
      </c>
      <c r="B181" s="27" t="s">
        <v>145</v>
      </c>
      <c r="C181" s="27" t="s">
        <v>54</v>
      </c>
      <c r="D181" s="27">
        <v>0.29528799999999999</v>
      </c>
      <c r="E181" s="27" t="s">
        <v>148</v>
      </c>
      <c r="F181" s="31" t="s">
        <v>192</v>
      </c>
      <c r="G181" s="27" t="s">
        <v>68</v>
      </c>
      <c r="H181" s="27"/>
      <c r="I181" s="27"/>
    </row>
    <row r="182" spans="1:9" x14ac:dyDescent="0.25">
      <c r="A182" s="27" t="s">
        <v>183</v>
      </c>
      <c r="B182" s="27" t="s">
        <v>146</v>
      </c>
      <c r="C182" s="27" t="s">
        <v>54</v>
      </c>
      <c r="D182" s="27">
        <v>0.168736</v>
      </c>
      <c r="E182" s="27" t="s">
        <v>148</v>
      </c>
      <c r="F182" s="31" t="s">
        <v>192</v>
      </c>
      <c r="G182" s="27" t="s">
        <v>68</v>
      </c>
      <c r="H182" s="27"/>
      <c r="I182" s="27"/>
    </row>
    <row r="183" spans="1:9" x14ac:dyDescent="0.25">
      <c r="A183" s="27" t="s">
        <v>198</v>
      </c>
      <c r="B183" s="27" t="s">
        <v>147</v>
      </c>
      <c r="C183" s="27" t="s">
        <v>54</v>
      </c>
      <c r="D183" s="27">
        <v>0.253104</v>
      </c>
      <c r="E183" s="27" t="s">
        <v>148</v>
      </c>
      <c r="F183" s="31" t="s">
        <v>192</v>
      </c>
      <c r="G183" s="27" t="s">
        <v>68</v>
      </c>
      <c r="H183" s="27"/>
      <c r="I183" s="27"/>
    </row>
    <row r="184" spans="1:9" x14ac:dyDescent="0.25">
      <c r="D184" s="10"/>
    </row>
    <row r="185" spans="1:9" x14ac:dyDescent="0.25">
      <c r="D185" s="10"/>
    </row>
    <row r="186" spans="1:9" x14ac:dyDescent="0.25">
      <c r="D186" s="11"/>
    </row>
    <row r="187" spans="1:9" x14ac:dyDescent="0.25">
      <c r="B187" s="11"/>
      <c r="D187" s="12"/>
      <c r="F187" s="22"/>
    </row>
    <row r="188" spans="1:9" x14ac:dyDescent="0.25">
      <c r="F188" s="22"/>
    </row>
    <row r="189" spans="1:9" x14ac:dyDescent="0.25">
      <c r="F189" s="22"/>
    </row>
    <row r="191" spans="1:9" x14ac:dyDescent="0.25">
      <c r="A191" s="1" t="s">
        <v>2</v>
      </c>
      <c r="B191" t="s">
        <v>26</v>
      </c>
      <c r="C191" s="2"/>
      <c r="D191" s="2"/>
      <c r="E191" s="2"/>
      <c r="F191" s="2"/>
      <c r="G191" s="2"/>
      <c r="H191" s="2"/>
      <c r="I191" s="2"/>
    </row>
    <row r="192" spans="1:9" x14ac:dyDescent="0.25">
      <c r="A192" s="3" t="s">
        <v>3</v>
      </c>
      <c r="B192" t="s">
        <v>150</v>
      </c>
    </row>
    <row r="193" spans="1:9" x14ac:dyDescent="0.25">
      <c r="A193" s="4" t="s">
        <v>4</v>
      </c>
      <c r="B193" s="5" t="s">
        <v>5</v>
      </c>
      <c r="C193" s="5"/>
      <c r="D193" s="5"/>
      <c r="E193" s="5"/>
      <c r="F193" s="5"/>
      <c r="G193" s="5"/>
      <c r="H193" s="5"/>
      <c r="I193" s="5"/>
    </row>
    <row r="194" spans="1:9" x14ac:dyDescent="0.25">
      <c r="A194" s="4" t="s">
        <v>6</v>
      </c>
      <c r="B194" s="6">
        <v>1</v>
      </c>
      <c r="C194" s="5"/>
      <c r="D194" s="5"/>
      <c r="E194" s="5"/>
      <c r="F194" s="5"/>
      <c r="G194" s="5"/>
      <c r="H194" s="5"/>
      <c r="I194" s="5"/>
    </row>
    <row r="195" spans="1:9" x14ac:dyDescent="0.25">
      <c r="A195" s="4" t="s">
        <v>7</v>
      </c>
      <c r="B195" s="7" t="s">
        <v>8</v>
      </c>
      <c r="C195" s="5"/>
      <c r="D195" s="5"/>
      <c r="E195" s="5"/>
      <c r="F195" s="5"/>
      <c r="G195" s="5"/>
      <c r="H195" s="5"/>
      <c r="I195" s="5"/>
    </row>
    <row r="197" spans="1:9" x14ac:dyDescent="0.25">
      <c r="A197" s="3" t="s">
        <v>9</v>
      </c>
    </row>
    <row r="198" spans="1:9" x14ac:dyDescent="0.25">
      <c r="A198" s="3" t="s">
        <v>10</v>
      </c>
      <c r="B198" s="3" t="s">
        <v>11</v>
      </c>
      <c r="C198" s="3" t="s">
        <v>7</v>
      </c>
      <c r="D198" s="8" t="s">
        <v>12</v>
      </c>
      <c r="E198" s="3" t="s">
        <v>4</v>
      </c>
      <c r="F198" s="3" t="s">
        <v>13</v>
      </c>
      <c r="G198" s="3" t="s">
        <v>14</v>
      </c>
      <c r="H198" s="3" t="s">
        <v>15</v>
      </c>
      <c r="I198" t="s">
        <v>3</v>
      </c>
    </row>
    <row r="199" spans="1:9" x14ac:dyDescent="0.25">
      <c r="A199" t="str">
        <f>B191</f>
        <v>Composter_complexe enviro st Michel</v>
      </c>
      <c r="B199" t="s">
        <v>16</v>
      </c>
      <c r="C199" t="s">
        <v>8</v>
      </c>
      <c r="D199" s="9">
        <v>1</v>
      </c>
      <c r="E199" t="s">
        <v>5</v>
      </c>
      <c r="F199" t="str">
        <f>$B$1</f>
        <v>OWM Facilities</v>
      </c>
      <c r="G199" t="s">
        <v>17</v>
      </c>
      <c r="H199" s="3"/>
      <c r="I199" t="s">
        <v>33</v>
      </c>
    </row>
    <row r="200" spans="1:9" x14ac:dyDescent="0.25">
      <c r="A200" s="9" t="s">
        <v>34</v>
      </c>
      <c r="B200" t="s">
        <v>35</v>
      </c>
      <c r="C200" t="s">
        <v>36</v>
      </c>
      <c r="D200">
        <v>1.6772116902968379</v>
      </c>
      <c r="E200" t="s">
        <v>5</v>
      </c>
      <c r="F200" s="22" t="s">
        <v>192</v>
      </c>
      <c r="G200" t="s">
        <v>19</v>
      </c>
      <c r="I200" t="s">
        <v>37</v>
      </c>
    </row>
    <row r="201" spans="1:9" x14ac:dyDescent="0.25">
      <c r="A201" s="27" t="s">
        <v>201</v>
      </c>
      <c r="B201" s="27" t="s">
        <v>202</v>
      </c>
      <c r="C201" s="27" t="s">
        <v>54</v>
      </c>
      <c r="D201" s="33">
        <v>2.5320055641349066</v>
      </c>
      <c r="E201" s="27" t="s">
        <v>50</v>
      </c>
      <c r="F201" s="22" t="s">
        <v>192</v>
      </c>
      <c r="G201" t="s">
        <v>19</v>
      </c>
      <c r="I201" t="s">
        <v>37</v>
      </c>
    </row>
    <row r="202" spans="1:9" x14ac:dyDescent="0.25">
      <c r="A202" t="s">
        <v>45</v>
      </c>
      <c r="B202" t="s">
        <v>46</v>
      </c>
      <c r="C202" t="s">
        <v>44</v>
      </c>
      <c r="D202" s="10">
        <f>Transportation!B12</f>
        <v>13</v>
      </c>
      <c r="E202" t="s">
        <v>47</v>
      </c>
      <c r="F202" s="22" t="s">
        <v>192</v>
      </c>
      <c r="G202" t="s">
        <v>19</v>
      </c>
      <c r="I202" t="s">
        <v>37</v>
      </c>
    </row>
    <row r="203" spans="1:9" x14ac:dyDescent="0.25">
      <c r="A203" s="27" t="s">
        <v>195</v>
      </c>
      <c r="B203" s="27" t="s">
        <v>56</v>
      </c>
      <c r="C203" s="27" t="s">
        <v>57</v>
      </c>
      <c r="D203" s="27">
        <v>7.28915519494213</v>
      </c>
      <c r="E203" s="27" t="s">
        <v>5</v>
      </c>
      <c r="F203" s="31" t="s">
        <v>192</v>
      </c>
      <c r="G203" s="27" t="s">
        <v>19</v>
      </c>
      <c r="H203" s="27"/>
      <c r="I203" s="27" t="s">
        <v>33</v>
      </c>
    </row>
    <row r="204" spans="1:9" x14ac:dyDescent="0.25">
      <c r="A204" s="27" t="s">
        <v>63</v>
      </c>
      <c r="B204" s="27"/>
      <c r="C204" s="27" t="s">
        <v>54</v>
      </c>
      <c r="D204" s="27">
        <v>5.6135340059469772E-4</v>
      </c>
      <c r="E204" s="27"/>
      <c r="F204" s="31" t="s">
        <v>193</v>
      </c>
      <c r="G204" s="27" t="s">
        <v>60</v>
      </c>
      <c r="H204" s="27" t="s">
        <v>61</v>
      </c>
      <c r="I204" s="27" t="s">
        <v>33</v>
      </c>
    </row>
    <row r="205" spans="1:9" x14ac:dyDescent="0.25">
      <c r="A205" s="27" t="s">
        <v>65</v>
      </c>
      <c r="B205" s="27"/>
      <c r="C205" s="27" t="s">
        <v>54</v>
      </c>
      <c r="D205" s="27">
        <v>1.3472481614272745E-5</v>
      </c>
      <c r="E205" s="27"/>
      <c r="F205" s="31" t="s">
        <v>193</v>
      </c>
      <c r="G205" s="27" t="s">
        <v>60</v>
      </c>
      <c r="H205" s="27" t="s">
        <v>61</v>
      </c>
      <c r="I205" s="27" t="s">
        <v>33</v>
      </c>
    </row>
    <row r="206" spans="1:9" x14ac:dyDescent="0.25">
      <c r="A206" s="27" t="s">
        <v>67</v>
      </c>
      <c r="B206" s="27"/>
      <c r="C206" s="27" t="s">
        <v>54</v>
      </c>
      <c r="D206" s="30">
        <v>2.6570727628149027E-3</v>
      </c>
      <c r="E206" s="27"/>
      <c r="F206" s="31" t="s">
        <v>193</v>
      </c>
      <c r="G206" s="27" t="s">
        <v>60</v>
      </c>
      <c r="H206" s="27" t="s">
        <v>61</v>
      </c>
      <c r="I206" s="27" t="s">
        <v>33</v>
      </c>
    </row>
    <row r="207" spans="1:9" x14ac:dyDescent="0.25">
      <c r="A207" s="27" t="s">
        <v>197</v>
      </c>
      <c r="B207" s="27"/>
      <c r="C207" s="27" t="s">
        <v>54</v>
      </c>
      <c r="D207" s="32">
        <v>1.0852832411497491E-3</v>
      </c>
      <c r="E207" s="27"/>
      <c r="F207" s="31" t="s">
        <v>193</v>
      </c>
      <c r="G207" s="27" t="s">
        <v>60</v>
      </c>
      <c r="H207" s="27" t="s">
        <v>61</v>
      </c>
      <c r="I207" s="27" t="s">
        <v>33</v>
      </c>
    </row>
    <row r="208" spans="1:9" x14ac:dyDescent="0.25">
      <c r="A208" s="27" t="s">
        <v>182</v>
      </c>
      <c r="B208" s="27" t="s">
        <v>145</v>
      </c>
      <c r="C208" s="27" t="s">
        <v>54</v>
      </c>
      <c r="D208" s="27">
        <v>0.29528799999999999</v>
      </c>
      <c r="E208" s="27" t="s">
        <v>148</v>
      </c>
      <c r="F208" s="31" t="s">
        <v>192</v>
      </c>
      <c r="G208" s="27" t="s">
        <v>68</v>
      </c>
      <c r="H208" s="27"/>
      <c r="I208" s="27"/>
    </row>
    <row r="209" spans="1:9" x14ac:dyDescent="0.25">
      <c r="A209" s="27" t="s">
        <v>183</v>
      </c>
      <c r="B209" s="27" t="s">
        <v>146</v>
      </c>
      <c r="C209" s="27" t="s">
        <v>54</v>
      </c>
      <c r="D209" s="27">
        <v>0.168736</v>
      </c>
      <c r="E209" s="27" t="s">
        <v>148</v>
      </c>
      <c r="F209" s="31" t="s">
        <v>192</v>
      </c>
      <c r="G209" s="27" t="s">
        <v>68</v>
      </c>
      <c r="H209" s="27"/>
      <c r="I209" s="27"/>
    </row>
    <row r="210" spans="1:9" x14ac:dyDescent="0.25">
      <c r="A210" s="27" t="s">
        <v>198</v>
      </c>
      <c r="B210" s="27" t="s">
        <v>147</v>
      </c>
      <c r="C210" s="27" t="s">
        <v>54</v>
      </c>
      <c r="D210" s="27">
        <v>0.253104</v>
      </c>
      <c r="E210" s="27" t="s">
        <v>148</v>
      </c>
      <c r="F210" s="31" t="s">
        <v>192</v>
      </c>
      <c r="G210" s="27" t="s">
        <v>68</v>
      </c>
      <c r="H210" s="27"/>
      <c r="I210" s="27"/>
    </row>
    <row r="211" spans="1:9" x14ac:dyDescent="0.25">
      <c r="D211" s="10"/>
    </row>
    <row r="212" spans="1:9" x14ac:dyDescent="0.25">
      <c r="D212" s="10"/>
    </row>
    <row r="213" spans="1:9" x14ac:dyDescent="0.25">
      <c r="D213" s="11"/>
    </row>
    <row r="214" spans="1:9" x14ac:dyDescent="0.25">
      <c r="B214" s="11"/>
      <c r="D214" s="12"/>
      <c r="F214" s="22"/>
    </row>
    <row r="215" spans="1:9" x14ac:dyDescent="0.25">
      <c r="F215" s="22"/>
    </row>
    <row r="216" spans="1:9" x14ac:dyDescent="0.25">
      <c r="F216" s="22"/>
    </row>
    <row r="218" spans="1:9" x14ac:dyDescent="0.25">
      <c r="A218" s="1" t="s">
        <v>2</v>
      </c>
      <c r="B218" t="s">
        <v>27</v>
      </c>
      <c r="C218" s="2"/>
      <c r="D218" s="2"/>
      <c r="E218" s="2"/>
      <c r="F218" s="2"/>
      <c r="G218" s="2"/>
      <c r="H218" s="2"/>
      <c r="I218" s="2"/>
    </row>
    <row r="219" spans="1:9" x14ac:dyDescent="0.25">
      <c r="A219" s="3" t="s">
        <v>3</v>
      </c>
      <c r="B219" t="s">
        <v>150</v>
      </c>
    </row>
    <row r="220" spans="1:9" x14ac:dyDescent="0.25">
      <c r="A220" s="4" t="s">
        <v>4</v>
      </c>
      <c r="B220" s="5" t="s">
        <v>5</v>
      </c>
      <c r="C220" s="5"/>
      <c r="D220" s="5"/>
      <c r="E220" s="5"/>
      <c r="F220" s="5"/>
      <c r="G220" s="5"/>
      <c r="H220" s="5"/>
      <c r="I220" s="5"/>
    </row>
    <row r="221" spans="1:9" x14ac:dyDescent="0.25">
      <c r="A221" s="4" t="s">
        <v>6</v>
      </c>
      <c r="B221" s="6">
        <v>1</v>
      </c>
      <c r="C221" s="5"/>
      <c r="D221" s="5"/>
      <c r="E221" s="5"/>
      <c r="F221" s="5"/>
      <c r="G221" s="5"/>
      <c r="H221" s="5"/>
      <c r="I221" s="5"/>
    </row>
    <row r="222" spans="1:9" x14ac:dyDescent="0.25">
      <c r="A222" s="4" t="s">
        <v>7</v>
      </c>
      <c r="B222" s="7" t="s">
        <v>8</v>
      </c>
      <c r="C222" s="5"/>
      <c r="D222" s="5"/>
      <c r="E222" s="5"/>
      <c r="F222" s="5"/>
      <c r="G222" s="5"/>
      <c r="H222" s="5"/>
      <c r="I222" s="5"/>
    </row>
    <row r="224" spans="1:9" x14ac:dyDescent="0.25">
      <c r="A224" s="3" t="s">
        <v>9</v>
      </c>
    </row>
    <row r="225" spans="1:9" x14ac:dyDescent="0.25">
      <c r="A225" s="3" t="s">
        <v>10</v>
      </c>
      <c r="B225" s="3" t="s">
        <v>11</v>
      </c>
      <c r="C225" s="3" t="s">
        <v>7</v>
      </c>
      <c r="D225" s="8" t="s">
        <v>12</v>
      </c>
      <c r="E225" s="3" t="s">
        <v>4</v>
      </c>
      <c r="F225" s="3" t="s">
        <v>13</v>
      </c>
      <c r="G225" s="3" t="s">
        <v>14</v>
      </c>
      <c r="H225" s="3" t="s">
        <v>15</v>
      </c>
      <c r="I225" t="s">
        <v>3</v>
      </c>
    </row>
    <row r="226" spans="1:9" x14ac:dyDescent="0.25">
      <c r="A226" t="s">
        <v>27</v>
      </c>
      <c r="B226" t="s">
        <v>16</v>
      </c>
      <c r="C226" t="s">
        <v>8</v>
      </c>
      <c r="D226" s="9">
        <v>1</v>
      </c>
      <c r="E226" t="s">
        <v>5</v>
      </c>
      <c r="F226" t="str">
        <f>$B$1</f>
        <v>OWM Facilities</v>
      </c>
      <c r="G226" t="s">
        <v>17</v>
      </c>
      <c r="H226" s="3"/>
      <c r="I226" t="s">
        <v>33</v>
      </c>
    </row>
    <row r="227" spans="1:9" x14ac:dyDescent="0.25">
      <c r="A227" s="9" t="s">
        <v>34</v>
      </c>
      <c r="B227" t="s">
        <v>35</v>
      </c>
      <c r="C227" t="s">
        <v>36</v>
      </c>
      <c r="D227">
        <v>1.6772116902968379</v>
      </c>
      <c r="E227" t="s">
        <v>5</v>
      </c>
      <c r="F227" s="22" t="s">
        <v>192</v>
      </c>
      <c r="G227" t="s">
        <v>19</v>
      </c>
      <c r="I227" t="s">
        <v>37</v>
      </c>
    </row>
    <row r="228" spans="1:9" x14ac:dyDescent="0.25">
      <c r="A228" s="27" t="s">
        <v>201</v>
      </c>
      <c r="B228" s="27" t="s">
        <v>202</v>
      </c>
      <c r="C228" s="27" t="s">
        <v>54</v>
      </c>
      <c r="D228" s="33">
        <v>2.5320055641349066</v>
      </c>
      <c r="E228" s="27" t="s">
        <v>50</v>
      </c>
      <c r="F228" s="22" t="s">
        <v>192</v>
      </c>
      <c r="G228" t="s">
        <v>19</v>
      </c>
      <c r="I228" t="s">
        <v>37</v>
      </c>
    </row>
    <row r="229" spans="1:9" x14ac:dyDescent="0.25">
      <c r="A229" t="s">
        <v>45</v>
      </c>
      <c r="B229" t="s">
        <v>46</v>
      </c>
      <c r="C229" t="s">
        <v>44</v>
      </c>
      <c r="D229" s="10">
        <f>Transportation!B13</f>
        <v>15.6</v>
      </c>
      <c r="E229" t="s">
        <v>47</v>
      </c>
      <c r="F229" s="22" t="s">
        <v>192</v>
      </c>
      <c r="G229" t="s">
        <v>19</v>
      </c>
      <c r="I229" t="s">
        <v>37</v>
      </c>
    </row>
    <row r="230" spans="1:9" x14ac:dyDescent="0.25">
      <c r="A230" t="s">
        <v>195</v>
      </c>
      <c r="B230" t="s">
        <v>56</v>
      </c>
      <c r="C230" t="s">
        <v>57</v>
      </c>
      <c r="D230">
        <v>7.28915519494213</v>
      </c>
      <c r="E230" t="s">
        <v>5</v>
      </c>
      <c r="F230" s="22" t="s">
        <v>192</v>
      </c>
      <c r="G230" t="s">
        <v>19</v>
      </c>
      <c r="I230" t="s">
        <v>33</v>
      </c>
    </row>
    <row r="231" spans="1:9" x14ac:dyDescent="0.25">
      <c r="A231" t="s">
        <v>63</v>
      </c>
      <c r="C231" t="s">
        <v>54</v>
      </c>
      <c r="D231">
        <v>5.6135340059469772E-4</v>
      </c>
      <c r="F231" s="22" t="s">
        <v>193</v>
      </c>
      <c r="G231" t="s">
        <v>60</v>
      </c>
      <c r="H231" t="s">
        <v>61</v>
      </c>
      <c r="I231" t="s">
        <v>33</v>
      </c>
    </row>
    <row r="232" spans="1:9" x14ac:dyDescent="0.25">
      <c r="A232" t="s">
        <v>65</v>
      </c>
      <c r="C232" t="s">
        <v>54</v>
      </c>
      <c r="D232">
        <v>1.3472481614272745E-5</v>
      </c>
      <c r="F232" s="22" t="s">
        <v>193</v>
      </c>
      <c r="G232" t="s">
        <v>60</v>
      </c>
      <c r="H232" t="s">
        <v>61</v>
      </c>
      <c r="I232" t="s">
        <v>33</v>
      </c>
    </row>
    <row r="233" spans="1:9" x14ac:dyDescent="0.25">
      <c r="A233" t="s">
        <v>67</v>
      </c>
      <c r="C233" t="s">
        <v>54</v>
      </c>
      <c r="D233" s="10">
        <v>2.6570727628149027E-3</v>
      </c>
      <c r="F233" s="22" t="s">
        <v>193</v>
      </c>
      <c r="G233" t="s">
        <v>60</v>
      </c>
      <c r="H233" t="s">
        <v>61</v>
      </c>
      <c r="I233" t="s">
        <v>33</v>
      </c>
    </row>
    <row r="234" spans="1:9" x14ac:dyDescent="0.25">
      <c r="A234" s="27" t="s">
        <v>197</v>
      </c>
      <c r="B234" s="27"/>
      <c r="C234" s="27" t="s">
        <v>54</v>
      </c>
      <c r="D234" s="32">
        <v>1.0852832411497491E-3</v>
      </c>
      <c r="E234" s="27"/>
      <c r="F234" s="31" t="s">
        <v>193</v>
      </c>
      <c r="G234" s="27" t="s">
        <v>60</v>
      </c>
      <c r="H234" s="27" t="s">
        <v>61</v>
      </c>
      <c r="I234" s="27" t="s">
        <v>33</v>
      </c>
    </row>
    <row r="235" spans="1:9" x14ac:dyDescent="0.25">
      <c r="A235" s="27" t="s">
        <v>182</v>
      </c>
      <c r="B235" s="27" t="s">
        <v>145</v>
      </c>
      <c r="C235" s="27" t="s">
        <v>54</v>
      </c>
      <c r="D235" s="27">
        <v>0.29528799999999999</v>
      </c>
      <c r="E235" s="27" t="s">
        <v>148</v>
      </c>
      <c r="F235" s="31" t="s">
        <v>192</v>
      </c>
      <c r="G235" s="27" t="s">
        <v>68</v>
      </c>
      <c r="H235" s="27"/>
      <c r="I235" s="27"/>
    </row>
    <row r="236" spans="1:9" x14ac:dyDescent="0.25">
      <c r="A236" s="27" t="s">
        <v>183</v>
      </c>
      <c r="B236" s="27" t="s">
        <v>146</v>
      </c>
      <c r="C236" s="27" t="s">
        <v>54</v>
      </c>
      <c r="D236" s="27">
        <v>0.168736</v>
      </c>
      <c r="E236" s="27" t="s">
        <v>148</v>
      </c>
      <c r="F236" s="31" t="s">
        <v>192</v>
      </c>
      <c r="G236" s="27" t="s">
        <v>68</v>
      </c>
      <c r="H236" s="27"/>
      <c r="I236" s="27"/>
    </row>
    <row r="237" spans="1:9" x14ac:dyDescent="0.25">
      <c r="A237" s="27" t="s">
        <v>198</v>
      </c>
      <c r="B237" s="27" t="s">
        <v>147</v>
      </c>
      <c r="C237" s="27" t="s">
        <v>54</v>
      </c>
      <c r="D237" s="27">
        <v>0.253104</v>
      </c>
      <c r="E237" s="27" t="s">
        <v>148</v>
      </c>
      <c r="F237" s="31" t="s">
        <v>192</v>
      </c>
      <c r="G237" s="27" t="s">
        <v>68</v>
      </c>
      <c r="H237" s="27"/>
      <c r="I237" s="27"/>
    </row>
    <row r="239" spans="1:9" x14ac:dyDescent="0.25">
      <c r="A239" s="1" t="s">
        <v>2</v>
      </c>
      <c r="B239" t="s">
        <v>28</v>
      </c>
      <c r="C239" s="2"/>
      <c r="D239" s="2"/>
      <c r="E239" s="2"/>
      <c r="F239" s="2"/>
      <c r="G239" s="2"/>
      <c r="H239" s="2"/>
      <c r="I239" s="2"/>
    </row>
    <row r="240" spans="1:9" x14ac:dyDescent="0.25">
      <c r="A240" s="3" t="s">
        <v>3</v>
      </c>
      <c r="B240" t="s">
        <v>150</v>
      </c>
    </row>
    <row r="241" spans="1:9" x14ac:dyDescent="0.25">
      <c r="A241" s="4" t="s">
        <v>4</v>
      </c>
      <c r="B241" s="5" t="s">
        <v>5</v>
      </c>
      <c r="C241" s="5"/>
      <c r="D241" s="5"/>
      <c r="E241" s="5"/>
      <c r="F241" s="5"/>
      <c r="G241" s="5"/>
      <c r="H241" s="5"/>
      <c r="I241" s="5"/>
    </row>
    <row r="242" spans="1:9" x14ac:dyDescent="0.25">
      <c r="A242" s="4" t="s">
        <v>6</v>
      </c>
      <c r="B242" s="6">
        <v>1</v>
      </c>
      <c r="C242" s="5"/>
      <c r="D242" s="5"/>
      <c r="E242" s="5"/>
      <c r="F242" s="5"/>
      <c r="G242" s="5"/>
      <c r="H242" s="5"/>
      <c r="I242" s="5"/>
    </row>
    <row r="243" spans="1:9" x14ac:dyDescent="0.25">
      <c r="A243" s="4" t="s">
        <v>7</v>
      </c>
      <c r="B243" s="7" t="s">
        <v>8</v>
      </c>
      <c r="C243" s="5"/>
      <c r="D243" s="5"/>
      <c r="E243" s="5"/>
      <c r="F243" s="5"/>
      <c r="G243" s="5"/>
      <c r="H243" s="5"/>
      <c r="I243" s="5"/>
    </row>
    <row r="245" spans="1:9" x14ac:dyDescent="0.25">
      <c r="A245" s="3" t="s">
        <v>9</v>
      </c>
    </row>
    <row r="246" spans="1:9" x14ac:dyDescent="0.25">
      <c r="A246" s="3" t="s">
        <v>10</v>
      </c>
      <c r="B246" s="3" t="s">
        <v>11</v>
      </c>
      <c r="C246" s="3" t="s">
        <v>7</v>
      </c>
      <c r="D246" s="8" t="s">
        <v>12</v>
      </c>
      <c r="E246" s="3" t="s">
        <v>4</v>
      </c>
      <c r="F246" s="3" t="s">
        <v>13</v>
      </c>
      <c r="G246" s="3" t="s">
        <v>14</v>
      </c>
      <c r="H246" s="3" t="s">
        <v>15</v>
      </c>
      <c r="I246" t="s">
        <v>3</v>
      </c>
    </row>
    <row r="247" spans="1:9" x14ac:dyDescent="0.25">
      <c r="A247" t="str">
        <f>B239</f>
        <v>Composter_saint thomas</v>
      </c>
      <c r="B247" t="s">
        <v>16</v>
      </c>
      <c r="C247" t="s">
        <v>8</v>
      </c>
      <c r="D247" s="9">
        <v>1</v>
      </c>
      <c r="E247" t="s">
        <v>5</v>
      </c>
      <c r="F247" t="str">
        <f>$B$1</f>
        <v>OWM Facilities</v>
      </c>
      <c r="G247" t="s">
        <v>17</v>
      </c>
      <c r="H247" s="3"/>
      <c r="I247" t="s">
        <v>33</v>
      </c>
    </row>
    <row r="248" spans="1:9" x14ac:dyDescent="0.25">
      <c r="A248" s="9" t="s">
        <v>34</v>
      </c>
      <c r="B248" t="s">
        <v>35</v>
      </c>
      <c r="C248" t="s">
        <v>36</v>
      </c>
      <c r="D248">
        <v>1.6772116902968379</v>
      </c>
      <c r="E248" t="s">
        <v>5</v>
      </c>
      <c r="F248" s="22" t="s">
        <v>192</v>
      </c>
      <c r="G248" t="s">
        <v>19</v>
      </c>
      <c r="I248" t="s">
        <v>37</v>
      </c>
    </row>
    <row r="249" spans="1:9" x14ac:dyDescent="0.25">
      <c r="A249" s="27" t="s">
        <v>201</v>
      </c>
      <c r="B249" s="27" t="s">
        <v>202</v>
      </c>
      <c r="C249" s="27" t="s">
        <v>54</v>
      </c>
      <c r="D249" s="33">
        <v>2.5320055641349066</v>
      </c>
      <c r="E249" s="27" t="s">
        <v>50</v>
      </c>
      <c r="F249" s="22" t="s">
        <v>192</v>
      </c>
      <c r="G249" t="s">
        <v>19</v>
      </c>
      <c r="I249" t="s">
        <v>37</v>
      </c>
    </row>
    <row r="250" spans="1:9" x14ac:dyDescent="0.25">
      <c r="A250" t="s">
        <v>45</v>
      </c>
      <c r="B250" t="s">
        <v>46</v>
      </c>
      <c r="C250" t="s">
        <v>44</v>
      </c>
      <c r="D250" s="10">
        <f>Transportation!B14</f>
        <v>59.6</v>
      </c>
      <c r="E250" t="s">
        <v>47</v>
      </c>
      <c r="F250" s="22" t="s">
        <v>192</v>
      </c>
      <c r="G250" t="s">
        <v>19</v>
      </c>
      <c r="I250" t="s">
        <v>37</v>
      </c>
    </row>
    <row r="251" spans="1:9" x14ac:dyDescent="0.25">
      <c r="A251" t="s">
        <v>195</v>
      </c>
      <c r="B251" t="s">
        <v>56</v>
      </c>
      <c r="C251" t="s">
        <v>57</v>
      </c>
      <c r="D251">
        <v>7.28915519494213</v>
      </c>
      <c r="E251" t="s">
        <v>5</v>
      </c>
      <c r="F251" s="22" t="s">
        <v>192</v>
      </c>
      <c r="G251" t="s">
        <v>19</v>
      </c>
      <c r="I251" t="s">
        <v>33</v>
      </c>
    </row>
    <row r="252" spans="1:9" x14ac:dyDescent="0.25">
      <c r="A252" t="s">
        <v>63</v>
      </c>
      <c r="C252" t="s">
        <v>54</v>
      </c>
      <c r="D252">
        <v>5.6135340059469772E-4</v>
      </c>
      <c r="F252" s="22" t="s">
        <v>193</v>
      </c>
      <c r="G252" t="s">
        <v>60</v>
      </c>
      <c r="H252" t="s">
        <v>61</v>
      </c>
      <c r="I252" t="s">
        <v>33</v>
      </c>
    </row>
    <row r="253" spans="1:9" x14ac:dyDescent="0.25">
      <c r="A253" t="s">
        <v>65</v>
      </c>
      <c r="C253" t="s">
        <v>54</v>
      </c>
      <c r="D253">
        <v>1.3472481614272745E-5</v>
      </c>
      <c r="F253" s="22" t="s">
        <v>193</v>
      </c>
      <c r="G253" t="s">
        <v>60</v>
      </c>
      <c r="H253" t="s">
        <v>61</v>
      </c>
      <c r="I253" t="s">
        <v>33</v>
      </c>
    </row>
    <row r="254" spans="1:9" x14ac:dyDescent="0.25">
      <c r="A254" t="s">
        <v>67</v>
      </c>
      <c r="C254" t="s">
        <v>54</v>
      </c>
      <c r="D254" s="10">
        <v>2.6570727628149027E-3</v>
      </c>
      <c r="F254" s="22" t="s">
        <v>193</v>
      </c>
      <c r="G254" t="s">
        <v>60</v>
      </c>
      <c r="H254" t="s">
        <v>61</v>
      </c>
      <c r="I254" t="s">
        <v>33</v>
      </c>
    </row>
    <row r="255" spans="1:9" x14ac:dyDescent="0.25">
      <c r="A255" s="27" t="s">
        <v>197</v>
      </c>
      <c r="B255" s="27"/>
      <c r="C255" s="27" t="s">
        <v>54</v>
      </c>
      <c r="D255" s="32">
        <v>1.0852832411497491E-3</v>
      </c>
      <c r="E255" s="27"/>
      <c r="F255" s="31" t="s">
        <v>193</v>
      </c>
      <c r="G255" s="27" t="s">
        <v>60</v>
      </c>
      <c r="H255" s="27" t="s">
        <v>61</v>
      </c>
      <c r="I255" s="27" t="s">
        <v>33</v>
      </c>
    </row>
    <row r="256" spans="1:9" x14ac:dyDescent="0.25">
      <c r="A256" s="27" t="s">
        <v>182</v>
      </c>
      <c r="B256" s="27" t="s">
        <v>145</v>
      </c>
      <c r="C256" s="27" t="s">
        <v>54</v>
      </c>
      <c r="D256" s="27">
        <v>0.29528799999999999</v>
      </c>
      <c r="E256" s="27" t="s">
        <v>148</v>
      </c>
      <c r="F256" s="31" t="s">
        <v>192</v>
      </c>
      <c r="G256" s="27" t="s">
        <v>68</v>
      </c>
      <c r="H256" s="27"/>
      <c r="I256" s="27"/>
    </row>
    <row r="257" spans="1:9" x14ac:dyDescent="0.25">
      <c r="A257" s="27" t="s">
        <v>183</v>
      </c>
      <c r="B257" s="27" t="s">
        <v>146</v>
      </c>
      <c r="C257" s="27" t="s">
        <v>54</v>
      </c>
      <c r="D257" s="27">
        <v>0.168736</v>
      </c>
      <c r="E257" s="27" t="s">
        <v>148</v>
      </c>
      <c r="F257" s="31" t="s">
        <v>192</v>
      </c>
      <c r="G257" s="27" t="s">
        <v>68</v>
      </c>
      <c r="H257" s="27"/>
      <c r="I257" s="27"/>
    </row>
    <row r="258" spans="1:9" x14ac:dyDescent="0.25">
      <c r="A258" s="27" t="s">
        <v>198</v>
      </c>
      <c r="B258" s="27" t="s">
        <v>147</v>
      </c>
      <c r="C258" s="27" t="s">
        <v>54</v>
      </c>
      <c r="D258" s="27">
        <v>0.253104</v>
      </c>
      <c r="E258" s="27" t="s">
        <v>148</v>
      </c>
      <c r="F258" s="31" t="s">
        <v>192</v>
      </c>
      <c r="G258" s="27" t="s">
        <v>68</v>
      </c>
      <c r="H258" s="27"/>
      <c r="I258" s="27"/>
    </row>
    <row r="259" spans="1:9" x14ac:dyDescent="0.25">
      <c r="D259" s="10"/>
    </row>
    <row r="260" spans="1:9" x14ac:dyDescent="0.25">
      <c r="D260" s="10"/>
    </row>
    <row r="261" spans="1:9" x14ac:dyDescent="0.25">
      <c r="D261" s="11"/>
    </row>
    <row r="264" spans="1:9" x14ac:dyDescent="0.25">
      <c r="A264" s="1" t="s">
        <v>2</v>
      </c>
      <c r="B264" s="2" t="s">
        <v>162</v>
      </c>
      <c r="C264" s="2"/>
      <c r="D264" s="2"/>
      <c r="E264" s="2"/>
      <c r="F264" s="2"/>
      <c r="G264" s="2"/>
      <c r="H264" s="2"/>
      <c r="I264" s="2"/>
    </row>
    <row r="265" spans="1:9" x14ac:dyDescent="0.25">
      <c r="A265" s="3" t="s">
        <v>3</v>
      </c>
      <c r="B265" t="s">
        <v>106</v>
      </c>
    </row>
    <row r="266" spans="1:9" x14ac:dyDescent="0.25">
      <c r="A266" s="4" t="s">
        <v>4</v>
      </c>
      <c r="B266" s="5" t="s">
        <v>5</v>
      </c>
      <c r="C266" s="5"/>
      <c r="D266" s="5"/>
      <c r="E266" s="5"/>
      <c r="F266" s="5"/>
      <c r="G266" s="5"/>
      <c r="H266" s="5"/>
      <c r="I266" s="5"/>
    </row>
    <row r="267" spans="1:9" x14ac:dyDescent="0.25">
      <c r="A267" s="4" t="s">
        <v>6</v>
      </c>
      <c r="B267" s="6">
        <v>1</v>
      </c>
      <c r="C267" s="5"/>
      <c r="D267" s="5"/>
      <c r="E267" s="5"/>
      <c r="F267" s="5"/>
      <c r="G267" s="5"/>
      <c r="H267" s="5"/>
      <c r="I267" s="5"/>
    </row>
    <row r="268" spans="1:9" x14ac:dyDescent="0.25">
      <c r="A268" s="4" t="s">
        <v>7</v>
      </c>
      <c r="B268" s="7" t="s">
        <v>8</v>
      </c>
      <c r="C268" s="5"/>
      <c r="D268" s="5"/>
      <c r="E268" s="5"/>
      <c r="F268" s="5"/>
      <c r="G268" s="5"/>
      <c r="H268" s="5"/>
      <c r="I268" s="5"/>
    </row>
    <row r="270" spans="1:9" x14ac:dyDescent="0.25">
      <c r="A270" s="3" t="s">
        <v>9</v>
      </c>
    </row>
    <row r="271" spans="1:9" x14ac:dyDescent="0.25">
      <c r="A271" s="3" t="s">
        <v>10</v>
      </c>
      <c r="B271" s="3" t="s">
        <v>11</v>
      </c>
      <c r="C271" s="3" t="s">
        <v>7</v>
      </c>
      <c r="D271" s="8" t="s">
        <v>12</v>
      </c>
      <c r="E271" s="3" t="s">
        <v>4</v>
      </c>
      <c r="F271" s="3" t="s">
        <v>13</v>
      </c>
      <c r="G271" s="3" t="s">
        <v>14</v>
      </c>
      <c r="H271" s="3" t="s">
        <v>15</v>
      </c>
      <c r="I271" t="s">
        <v>3</v>
      </c>
    </row>
    <row r="272" spans="1:9" x14ac:dyDescent="0.25">
      <c r="A272" s="35" t="str">
        <f>B264</f>
        <v>lewerenz_Open Composter</v>
      </c>
      <c r="B272" s="35" t="s">
        <v>16</v>
      </c>
      <c r="C272" s="35" t="s">
        <v>8</v>
      </c>
      <c r="D272" s="36">
        <v>1</v>
      </c>
      <c r="E272" s="35" t="str">
        <f>B266</f>
        <v>CA-QC</v>
      </c>
      <c r="F272" s="35" t="str">
        <f>$B$1</f>
        <v>OWM Facilities</v>
      </c>
      <c r="G272" t="s">
        <v>17</v>
      </c>
      <c r="H272" s="3"/>
      <c r="I272" t="s">
        <v>33</v>
      </c>
    </row>
    <row r="273" spans="1:9" x14ac:dyDescent="0.25">
      <c r="A273" s="36" t="s">
        <v>34</v>
      </c>
      <c r="B273" s="35" t="s">
        <v>35</v>
      </c>
      <c r="C273" s="35" t="s">
        <v>36</v>
      </c>
      <c r="D273" s="37">
        <f>0.0045*1000</f>
        <v>4.5</v>
      </c>
      <c r="E273" s="35" t="s">
        <v>32</v>
      </c>
      <c r="F273" s="38" t="s">
        <v>192</v>
      </c>
      <c r="G273" t="s">
        <v>19</v>
      </c>
      <c r="I273" t="s">
        <v>37</v>
      </c>
    </row>
    <row r="274" spans="1:9" x14ac:dyDescent="0.25">
      <c r="A274" s="35" t="s">
        <v>38</v>
      </c>
      <c r="B274" s="35" t="s">
        <v>39</v>
      </c>
      <c r="C274" s="35" t="s">
        <v>40</v>
      </c>
      <c r="D274" s="37">
        <f>0.000213066494623584*1000</f>
        <v>0.21306649462358399</v>
      </c>
      <c r="E274" s="35" t="s">
        <v>41</v>
      </c>
      <c r="F274" s="38" t="s">
        <v>192</v>
      </c>
      <c r="G274" t="s">
        <v>19</v>
      </c>
      <c r="I274" t="s">
        <v>37</v>
      </c>
    </row>
    <row r="275" spans="1:9" x14ac:dyDescent="0.25">
      <c r="A275" s="35" t="s">
        <v>42</v>
      </c>
      <c r="B275" s="35" t="s">
        <v>43</v>
      </c>
      <c r="C275" s="35" t="s">
        <v>44</v>
      </c>
      <c r="D275" s="37">
        <f>0.015*1000</f>
        <v>15</v>
      </c>
      <c r="E275" s="35" t="s">
        <v>41</v>
      </c>
      <c r="F275" s="38" t="s">
        <v>192</v>
      </c>
      <c r="G275" t="s">
        <v>19</v>
      </c>
      <c r="I275" t="s">
        <v>37</v>
      </c>
    </row>
    <row r="276" spans="1:9" x14ac:dyDescent="0.25">
      <c r="A276" s="35" t="s">
        <v>45</v>
      </c>
      <c r="B276" s="35" t="s">
        <v>46</v>
      </c>
      <c r="C276" s="35" t="s">
        <v>44</v>
      </c>
      <c r="D276" s="37">
        <f>0.017*1000</f>
        <v>17</v>
      </c>
      <c r="E276" s="35" t="s">
        <v>47</v>
      </c>
      <c r="F276" s="38" t="s">
        <v>192</v>
      </c>
      <c r="G276" t="s">
        <v>19</v>
      </c>
      <c r="I276" t="s">
        <v>37</v>
      </c>
    </row>
    <row r="277" spans="1:9" x14ac:dyDescent="0.25">
      <c r="A277" s="35" t="s">
        <v>48</v>
      </c>
      <c r="B277" s="35" t="s">
        <v>49</v>
      </c>
      <c r="C277" s="35" t="s">
        <v>7</v>
      </c>
      <c r="D277" s="37">
        <f>0.0000000040014*1000</f>
        <v>4.0013999999999995E-6</v>
      </c>
      <c r="E277" s="35" t="s">
        <v>50</v>
      </c>
      <c r="F277" s="38" t="s">
        <v>192</v>
      </c>
      <c r="G277" t="s">
        <v>19</v>
      </c>
      <c r="I277" t="s">
        <v>51</v>
      </c>
    </row>
    <row r="278" spans="1:9" x14ac:dyDescent="0.25">
      <c r="A278" s="35" t="s">
        <v>52</v>
      </c>
      <c r="B278" s="35" t="s">
        <v>53</v>
      </c>
      <c r="C278" s="35" t="s">
        <v>54</v>
      </c>
      <c r="D278" s="37">
        <f>0.0000185*1000</f>
        <v>1.8499999999999999E-2</v>
      </c>
      <c r="E278" s="35" t="s">
        <v>32</v>
      </c>
      <c r="F278" s="38" t="s">
        <v>192</v>
      </c>
      <c r="G278" t="s">
        <v>19</v>
      </c>
      <c r="I278" t="s">
        <v>33</v>
      </c>
    </row>
    <row r="279" spans="1:9" x14ac:dyDescent="0.25">
      <c r="A279" s="35" t="s">
        <v>55</v>
      </c>
      <c r="B279" s="35" t="s">
        <v>56</v>
      </c>
      <c r="C279" s="35" t="s">
        <v>57</v>
      </c>
      <c r="D279" s="37">
        <f>0.000225*1000</f>
        <v>0.22500000000000001</v>
      </c>
      <c r="E279" s="35" t="s">
        <v>58</v>
      </c>
      <c r="F279" s="38" t="s">
        <v>192</v>
      </c>
      <c r="G279" t="s">
        <v>19</v>
      </c>
      <c r="I279" t="s">
        <v>33</v>
      </c>
    </row>
    <row r="280" spans="1:9" x14ac:dyDescent="0.25">
      <c r="A280" t="s">
        <v>59</v>
      </c>
      <c r="C280" t="s">
        <v>57</v>
      </c>
      <c r="D280" s="10">
        <f>0.000125*1000</f>
        <v>0.125</v>
      </c>
      <c r="F280" s="22" t="s">
        <v>193</v>
      </c>
      <c r="G280" t="s">
        <v>60</v>
      </c>
      <c r="H280" t="s">
        <v>59</v>
      </c>
      <c r="I280" t="s">
        <v>62</v>
      </c>
    </row>
    <row r="281" spans="1:9" x14ac:dyDescent="0.25">
      <c r="A281" t="s">
        <v>63</v>
      </c>
      <c r="C281" t="s">
        <v>54</v>
      </c>
      <c r="D281" s="11">
        <f>1000*0.0007116</f>
        <v>0.7115999999999999</v>
      </c>
      <c r="F281" s="22" t="s">
        <v>193</v>
      </c>
      <c r="G281" t="s">
        <v>60</v>
      </c>
      <c r="H281" t="s">
        <v>61</v>
      </c>
      <c r="I281" t="s">
        <v>33</v>
      </c>
    </row>
    <row r="282" spans="1:9" x14ac:dyDescent="0.25">
      <c r="A282" t="s">
        <v>64</v>
      </c>
      <c r="C282" t="s">
        <v>54</v>
      </c>
      <c r="D282" s="10">
        <f>1000*0.09793</f>
        <v>97.93</v>
      </c>
      <c r="F282" s="22" t="s">
        <v>193</v>
      </c>
      <c r="G282" t="s">
        <v>60</v>
      </c>
      <c r="H282" t="s">
        <v>61</v>
      </c>
      <c r="I282" t="s">
        <v>33</v>
      </c>
    </row>
    <row r="283" spans="1:9" x14ac:dyDescent="0.25">
      <c r="A283" t="s">
        <v>65</v>
      </c>
      <c r="C283" t="s">
        <v>54</v>
      </c>
      <c r="D283" s="10">
        <f>1000*0.00015225</f>
        <v>0.15225</v>
      </c>
      <c r="F283" s="22" t="s">
        <v>193</v>
      </c>
      <c r="G283" t="s">
        <v>60</v>
      </c>
      <c r="H283" t="s">
        <v>61</v>
      </c>
      <c r="I283" t="s">
        <v>33</v>
      </c>
    </row>
    <row r="289" spans="1:9" x14ac:dyDescent="0.25">
      <c r="A289" s="27"/>
      <c r="B289" s="27"/>
      <c r="C289" s="40"/>
      <c r="D289" s="39"/>
      <c r="E289" s="27"/>
    </row>
    <row r="292" spans="1:9" x14ac:dyDescent="0.25">
      <c r="A292" s="1" t="s">
        <v>2</v>
      </c>
      <c r="B292" s="2" t="s">
        <v>178</v>
      </c>
      <c r="C292" s="2"/>
      <c r="D292" s="2"/>
      <c r="E292" s="2"/>
      <c r="F292" s="2"/>
      <c r="G292" s="2"/>
      <c r="H292" s="2"/>
      <c r="I292" s="2"/>
    </row>
    <row r="293" spans="1:9" ht="15.75" x14ac:dyDescent="0.25">
      <c r="A293" s="3" t="s">
        <v>3</v>
      </c>
      <c r="B293" s="24" t="s">
        <v>180</v>
      </c>
    </row>
    <row r="294" spans="1:9" x14ac:dyDescent="0.25">
      <c r="A294" s="4" t="s">
        <v>4</v>
      </c>
      <c r="B294" s="5" t="s">
        <v>179</v>
      </c>
      <c r="C294" s="5"/>
      <c r="D294" s="5"/>
      <c r="E294" s="5"/>
      <c r="F294" s="5"/>
      <c r="G294" s="5"/>
      <c r="H294" s="5"/>
      <c r="I294" s="5"/>
    </row>
    <row r="295" spans="1:9" x14ac:dyDescent="0.25">
      <c r="A295" s="4" t="s">
        <v>6</v>
      </c>
      <c r="B295" s="6">
        <v>1</v>
      </c>
      <c r="C295" s="5"/>
      <c r="D295" s="5"/>
      <c r="E295" s="5"/>
      <c r="F295" s="5"/>
      <c r="G295" s="5"/>
      <c r="H295" s="5"/>
      <c r="I295" s="5"/>
    </row>
    <row r="296" spans="1:9" x14ac:dyDescent="0.25">
      <c r="A296" s="4" t="s">
        <v>7</v>
      </c>
      <c r="B296" s="7" t="s">
        <v>8</v>
      </c>
      <c r="C296" s="5"/>
      <c r="D296" s="5"/>
      <c r="E296" s="5"/>
      <c r="F296" s="5"/>
      <c r="G296" s="5"/>
      <c r="H296" s="5"/>
      <c r="I296" s="5"/>
    </row>
    <row r="298" spans="1:9" x14ac:dyDescent="0.25">
      <c r="A298" s="3" t="s">
        <v>9</v>
      </c>
    </row>
    <row r="299" spans="1:9" x14ac:dyDescent="0.25">
      <c r="A299" s="3" t="s">
        <v>10</v>
      </c>
      <c r="B299" s="3" t="s">
        <v>11</v>
      </c>
      <c r="C299" s="3" t="s">
        <v>7</v>
      </c>
      <c r="D299" s="8" t="s">
        <v>12</v>
      </c>
      <c r="E299" s="3" t="s">
        <v>4</v>
      </c>
      <c r="F299" s="3" t="s">
        <v>13</v>
      </c>
      <c r="G299" s="3" t="s">
        <v>14</v>
      </c>
      <c r="H299" s="3" t="s">
        <v>15</v>
      </c>
      <c r="I299" t="s">
        <v>3</v>
      </c>
    </row>
    <row r="300" spans="1:9" x14ac:dyDescent="0.25">
      <c r="A300" t="str">
        <f>B292</f>
        <v>NS_compost</v>
      </c>
      <c r="B300" t="s">
        <v>16</v>
      </c>
      <c r="C300" t="s">
        <v>8</v>
      </c>
      <c r="D300">
        <v>1</v>
      </c>
      <c r="E300" t="str">
        <f>B294</f>
        <v>CA-NS</v>
      </c>
      <c r="F300" t="str">
        <f>B1</f>
        <v>OWM Facilities</v>
      </c>
      <c r="G300" t="s">
        <v>17</v>
      </c>
      <c r="I300" t="s">
        <v>33</v>
      </c>
    </row>
    <row r="301" spans="1:9" x14ac:dyDescent="0.25">
      <c r="A301" t="s">
        <v>34</v>
      </c>
      <c r="B301" t="s">
        <v>35</v>
      </c>
      <c r="C301" t="s">
        <v>36</v>
      </c>
      <c r="D301">
        <v>27.42983199561294</v>
      </c>
      <c r="E301" t="str">
        <f>E300</f>
        <v>CA-NS</v>
      </c>
      <c r="F301" s="22" t="s">
        <v>192</v>
      </c>
      <c r="G301" t="s">
        <v>19</v>
      </c>
      <c r="I301" t="s">
        <v>37</v>
      </c>
    </row>
    <row r="302" spans="1:9" x14ac:dyDescent="0.25">
      <c r="A302" s="27" t="s">
        <v>201</v>
      </c>
      <c r="B302" s="27" t="s">
        <v>202</v>
      </c>
      <c r="C302" s="27" t="s">
        <v>54</v>
      </c>
      <c r="D302">
        <v>3.34</v>
      </c>
      <c r="E302" t="s">
        <v>50</v>
      </c>
      <c r="F302" s="22" t="s">
        <v>192</v>
      </c>
      <c r="G302" t="s">
        <v>19</v>
      </c>
      <c r="I302" t="s">
        <v>37</v>
      </c>
    </row>
    <row r="303" spans="1:9" x14ac:dyDescent="0.25">
      <c r="A303" t="s">
        <v>65</v>
      </c>
      <c r="C303" t="s">
        <v>54</v>
      </c>
      <c r="D303">
        <v>8.9947155890124133</v>
      </c>
      <c r="F303" s="22" t="s">
        <v>193</v>
      </c>
      <c r="G303" t="s">
        <v>60</v>
      </c>
      <c r="H303" t="s">
        <v>61</v>
      </c>
      <c r="I303" t="s">
        <v>33</v>
      </c>
    </row>
    <row r="304" spans="1:9" x14ac:dyDescent="0.25">
      <c r="A304" t="s">
        <v>67</v>
      </c>
      <c r="C304" t="s">
        <v>54</v>
      </c>
      <c r="D304">
        <v>5.6084551000000003E-2</v>
      </c>
      <c r="F304" s="22" t="s">
        <v>193</v>
      </c>
      <c r="G304" t="s">
        <v>60</v>
      </c>
      <c r="H304" t="s">
        <v>61</v>
      </c>
      <c r="I304" t="s">
        <v>33</v>
      </c>
    </row>
    <row r="305" spans="1:9" x14ac:dyDescent="0.25">
      <c r="A305" t="s">
        <v>64</v>
      </c>
      <c r="C305" t="s">
        <v>54</v>
      </c>
      <c r="D305" s="10">
        <v>34.182910409999998</v>
      </c>
      <c r="F305" s="22" t="s">
        <v>193</v>
      </c>
      <c r="G305" t="s">
        <v>60</v>
      </c>
      <c r="H305" t="s">
        <v>61</v>
      </c>
      <c r="I305" t="s">
        <v>33</v>
      </c>
    </row>
    <row r="306" spans="1:9" x14ac:dyDescent="0.25">
      <c r="A306" t="s">
        <v>182</v>
      </c>
      <c r="B306" s="27" t="s">
        <v>145</v>
      </c>
      <c r="C306" s="27" t="s">
        <v>54</v>
      </c>
      <c r="D306" s="27">
        <v>1.7807999999999999</v>
      </c>
      <c r="E306" s="27" t="s">
        <v>148</v>
      </c>
      <c r="F306" s="22" t="s">
        <v>192</v>
      </c>
      <c r="G306" t="s">
        <v>68</v>
      </c>
    </row>
    <row r="307" spans="1:9" x14ac:dyDescent="0.25">
      <c r="A307" t="s">
        <v>183</v>
      </c>
      <c r="B307" s="27" t="s">
        <v>146</v>
      </c>
      <c r="C307" s="27" t="s">
        <v>54</v>
      </c>
      <c r="D307" s="27">
        <v>1.0176000000000001</v>
      </c>
      <c r="E307" s="27" t="s">
        <v>148</v>
      </c>
      <c r="F307" s="22" t="s">
        <v>192</v>
      </c>
      <c r="G307" t="s">
        <v>68</v>
      </c>
    </row>
    <row r="308" spans="1:9" x14ac:dyDescent="0.25">
      <c r="A308" t="s">
        <v>198</v>
      </c>
      <c r="B308" s="27" t="s">
        <v>147</v>
      </c>
      <c r="C308" s="27" t="s">
        <v>54</v>
      </c>
      <c r="D308" s="27">
        <v>1.5264</v>
      </c>
      <c r="E308" s="27" t="s">
        <v>148</v>
      </c>
      <c r="F308" s="22" t="s">
        <v>192</v>
      </c>
      <c r="G308" t="s">
        <v>68</v>
      </c>
    </row>
    <row r="310" spans="1:9" x14ac:dyDescent="0.25">
      <c r="A310" s="1" t="s">
        <v>2</v>
      </c>
      <c r="B310" s="2" t="s">
        <v>177</v>
      </c>
      <c r="C310" s="2"/>
      <c r="D310" s="2"/>
      <c r="E310" s="2"/>
      <c r="F310" s="2"/>
      <c r="G310" s="2"/>
      <c r="H310" s="2"/>
      <c r="I310" s="2"/>
    </row>
    <row r="311" spans="1:9" ht="20.25" thickBot="1" x14ac:dyDescent="0.35">
      <c r="A311" s="3" t="s">
        <v>3</v>
      </c>
      <c r="B311" s="26" t="s">
        <v>199</v>
      </c>
    </row>
    <row r="312" spans="1:9" ht="15.75" thickTop="1" x14ac:dyDescent="0.25">
      <c r="A312" s="4" t="s">
        <v>4</v>
      </c>
      <c r="B312" s="5" t="s">
        <v>179</v>
      </c>
      <c r="C312" s="5"/>
      <c r="D312" s="5"/>
      <c r="E312" s="5"/>
      <c r="F312" s="5"/>
      <c r="G312" s="5"/>
      <c r="H312" s="5"/>
      <c r="I312" s="5"/>
    </row>
    <row r="313" spans="1:9" x14ac:dyDescent="0.25">
      <c r="A313" s="4" t="s">
        <v>6</v>
      </c>
      <c r="B313" s="6">
        <v>1</v>
      </c>
      <c r="C313" s="5"/>
      <c r="D313" s="5"/>
      <c r="E313" s="5"/>
      <c r="F313" s="5"/>
      <c r="G313" s="5"/>
      <c r="H313" s="5"/>
      <c r="I313" s="5"/>
    </row>
    <row r="314" spans="1:9" x14ac:dyDescent="0.25">
      <c r="A314" s="4" t="s">
        <v>7</v>
      </c>
      <c r="B314" s="7" t="s">
        <v>8</v>
      </c>
      <c r="C314" s="5"/>
      <c r="D314" s="5"/>
      <c r="E314" s="5"/>
      <c r="F314" s="5"/>
      <c r="G314" s="5"/>
      <c r="H314" s="5"/>
      <c r="I314" s="5"/>
    </row>
    <row r="316" spans="1:9" x14ac:dyDescent="0.25">
      <c r="A316" s="3" t="s">
        <v>9</v>
      </c>
    </row>
    <row r="317" spans="1:9" x14ac:dyDescent="0.25">
      <c r="A317" s="3" t="s">
        <v>10</v>
      </c>
      <c r="B317" s="3" t="s">
        <v>11</v>
      </c>
      <c r="C317" s="3" t="s">
        <v>7</v>
      </c>
      <c r="D317" s="8" t="s">
        <v>12</v>
      </c>
      <c r="E317" s="3" t="s">
        <v>4</v>
      </c>
      <c r="F317" s="3" t="s">
        <v>13</v>
      </c>
      <c r="G317" s="3" t="s">
        <v>14</v>
      </c>
      <c r="H317" s="3" t="s">
        <v>15</v>
      </c>
      <c r="I317" t="s">
        <v>3</v>
      </c>
    </row>
    <row r="318" spans="1:9" x14ac:dyDescent="0.25">
      <c r="A318" t="str">
        <f>B310</f>
        <v>NS_AD</v>
      </c>
      <c r="B318" t="s">
        <v>16</v>
      </c>
      <c r="C318" t="s">
        <v>8</v>
      </c>
      <c r="D318">
        <v>1</v>
      </c>
      <c r="E318" t="str">
        <f>B312</f>
        <v>CA-NS</v>
      </c>
      <c r="F318" t="s">
        <v>1</v>
      </c>
      <c r="G318" t="s">
        <v>17</v>
      </c>
      <c r="I318" t="s">
        <v>33</v>
      </c>
    </row>
    <row r="319" spans="1:9" x14ac:dyDescent="0.25">
      <c r="A319" t="s">
        <v>34</v>
      </c>
      <c r="B319" t="s">
        <v>35</v>
      </c>
      <c r="C319" t="s">
        <v>36</v>
      </c>
      <c r="D319" s="10">
        <v>19.624800000000015</v>
      </c>
      <c r="E319" t="str">
        <f>[2]Sheet1!E11</f>
        <v>CA-QC</v>
      </c>
      <c r="F319" s="22" t="s">
        <v>192</v>
      </c>
      <c r="G319" t="s">
        <v>19</v>
      </c>
      <c r="I319" t="s">
        <v>37</v>
      </c>
    </row>
    <row r="320" spans="1:9" x14ac:dyDescent="0.25">
      <c r="A320" s="9" t="s">
        <v>34</v>
      </c>
      <c r="B320" t="s">
        <v>35</v>
      </c>
      <c r="C320" t="s">
        <v>36</v>
      </c>
      <c r="D320">
        <v>2.5000000000000001E-2</v>
      </c>
      <c r="E320" t="s">
        <v>5</v>
      </c>
      <c r="F320" s="22" t="s">
        <v>192</v>
      </c>
      <c r="G320" t="s">
        <v>68</v>
      </c>
      <c r="I320" t="s">
        <v>33</v>
      </c>
    </row>
    <row r="321" spans="1:9" x14ac:dyDescent="0.25">
      <c r="A321" t="s">
        <v>64</v>
      </c>
      <c r="C321" t="s">
        <v>54</v>
      </c>
      <c r="D321" s="25">
        <v>3.9980000000000002</v>
      </c>
      <c r="F321" s="22" t="s">
        <v>193</v>
      </c>
      <c r="G321" t="s">
        <v>60</v>
      </c>
      <c r="H321" t="s">
        <v>61</v>
      </c>
      <c r="I321" t="s">
        <v>33</v>
      </c>
    </row>
    <row r="322" spans="1:9" x14ac:dyDescent="0.25">
      <c r="A322" t="s">
        <v>65</v>
      </c>
      <c r="C322" t="s">
        <v>54</v>
      </c>
      <c r="D322" s="11">
        <v>2.75E-2</v>
      </c>
      <c r="F322" s="22" t="s">
        <v>193</v>
      </c>
      <c r="G322" t="s">
        <v>60</v>
      </c>
      <c r="H322" t="s">
        <v>61</v>
      </c>
      <c r="I322" t="s">
        <v>33</v>
      </c>
    </row>
    <row r="323" spans="1:9" x14ac:dyDescent="0.25">
      <c r="A323" t="s">
        <v>67</v>
      </c>
      <c r="C323" t="s">
        <v>54</v>
      </c>
      <c r="D323" s="11">
        <v>13.210197464999998</v>
      </c>
      <c r="F323" s="22" t="s">
        <v>193</v>
      </c>
      <c r="G323" t="s">
        <v>60</v>
      </c>
      <c r="H323" t="s">
        <v>61</v>
      </c>
      <c r="I323" t="s">
        <v>33</v>
      </c>
    </row>
    <row r="324" spans="1:9" x14ac:dyDescent="0.25">
      <c r="A324" t="s">
        <v>80</v>
      </c>
      <c r="B324" t="s">
        <v>81</v>
      </c>
      <c r="C324" t="s">
        <v>54</v>
      </c>
      <c r="D324">
        <v>0</v>
      </c>
      <c r="E324" t="s">
        <v>41</v>
      </c>
      <c r="F324" s="22" t="s">
        <v>192</v>
      </c>
      <c r="G324" t="s">
        <v>68</v>
      </c>
      <c r="I324" t="s">
        <v>181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B28-F383-4E17-A2A8-C3C4D97F8AC9}">
  <dimension ref="A1:G16"/>
  <sheetViews>
    <sheetView workbookViewId="0">
      <selection activeCell="F22" sqref="F22"/>
    </sheetView>
  </sheetViews>
  <sheetFormatPr defaultRowHeight="15" x14ac:dyDescent="0.25"/>
  <cols>
    <col min="1" max="1" width="25" customWidth="1"/>
  </cols>
  <sheetData>
    <row r="1" spans="1:7" x14ac:dyDescent="0.25">
      <c r="A1" s="17" t="s">
        <v>84</v>
      </c>
      <c r="C1" t="s">
        <v>85</v>
      </c>
      <c r="D1" t="s">
        <v>86</v>
      </c>
    </row>
    <row r="2" spans="1:7" x14ac:dyDescent="0.25">
      <c r="A2" t="s">
        <v>87</v>
      </c>
    </row>
    <row r="3" spans="1:7" x14ac:dyDescent="0.25">
      <c r="A3" s="17" t="s">
        <v>88</v>
      </c>
      <c r="B3" s="17" t="s">
        <v>89</v>
      </c>
      <c r="C3" s="17" t="s">
        <v>90</v>
      </c>
      <c r="D3" s="17" t="s">
        <v>91</v>
      </c>
      <c r="E3" s="17" t="s">
        <v>92</v>
      </c>
      <c r="F3" s="17"/>
      <c r="G3" s="17"/>
    </row>
    <row r="4" spans="1:7" x14ac:dyDescent="0.25">
      <c r="A4" t="s">
        <v>18</v>
      </c>
      <c r="B4">
        <v>50.7</v>
      </c>
      <c r="C4" t="s">
        <v>93</v>
      </c>
      <c r="D4" t="s">
        <v>94</v>
      </c>
    </row>
    <row r="5" spans="1:7" x14ac:dyDescent="0.25">
      <c r="A5" t="s">
        <v>20</v>
      </c>
      <c r="B5">
        <v>15.6</v>
      </c>
      <c r="C5" t="s">
        <v>93</v>
      </c>
      <c r="D5" t="s">
        <v>95</v>
      </c>
    </row>
    <row r="6" spans="1:7" x14ac:dyDescent="0.25">
      <c r="A6" t="s">
        <v>21</v>
      </c>
      <c r="B6">
        <v>59.6</v>
      </c>
      <c r="C6" t="s">
        <v>93</v>
      </c>
      <c r="D6" t="s">
        <v>96</v>
      </c>
    </row>
    <row r="7" spans="1:7" x14ac:dyDescent="0.25">
      <c r="A7" t="s">
        <v>22</v>
      </c>
      <c r="B7">
        <v>77.400000000000006</v>
      </c>
      <c r="C7" t="s">
        <v>93</v>
      </c>
      <c r="D7" t="s">
        <v>97</v>
      </c>
    </row>
    <row r="9" spans="1:7" x14ac:dyDescent="0.25">
      <c r="A9" t="s">
        <v>23</v>
      </c>
      <c r="B9">
        <v>120</v>
      </c>
      <c r="C9" t="s">
        <v>93</v>
      </c>
      <c r="D9" t="s">
        <v>98</v>
      </c>
    </row>
    <row r="10" spans="1:7" x14ac:dyDescent="0.25">
      <c r="A10" t="s">
        <v>24</v>
      </c>
      <c r="B10">
        <v>86</v>
      </c>
      <c r="C10" t="s">
        <v>93</v>
      </c>
      <c r="D10" t="s">
        <v>99</v>
      </c>
    </row>
    <row r="11" spans="1:7" x14ac:dyDescent="0.25">
      <c r="A11" t="s">
        <v>25</v>
      </c>
      <c r="B11">
        <v>170</v>
      </c>
      <c r="C11" t="s">
        <v>93</v>
      </c>
      <c r="D11" s="15" t="s">
        <v>100</v>
      </c>
      <c r="E11" s="15" t="s">
        <v>101</v>
      </c>
    </row>
    <row r="12" spans="1:7" x14ac:dyDescent="0.25">
      <c r="A12" t="s">
        <v>26</v>
      </c>
      <c r="B12">
        <v>13</v>
      </c>
      <c r="C12" t="s">
        <v>93</v>
      </c>
      <c r="D12" t="s">
        <v>102</v>
      </c>
    </row>
    <row r="13" spans="1:7" x14ac:dyDescent="0.25">
      <c r="A13" t="s">
        <v>27</v>
      </c>
      <c r="B13">
        <v>15.6</v>
      </c>
      <c r="C13" t="s">
        <v>93</v>
      </c>
      <c r="D13" t="str">
        <f>D5</f>
        <v>3779, chemin des 40 Arpents, Lachenaie, QC J6V 9T6</v>
      </c>
    </row>
    <row r="14" spans="1:7" x14ac:dyDescent="0.25">
      <c r="A14" t="s">
        <v>28</v>
      </c>
      <c r="B14">
        <f>B6</f>
        <v>59.6</v>
      </c>
      <c r="C14" t="s">
        <v>93</v>
      </c>
      <c r="D14" t="str">
        <f>D6</f>
        <v>1001, Chemin St-Joseph, Saint-Thomas, QC J0K 3L0</v>
      </c>
      <c r="E14" s="15" t="s">
        <v>101</v>
      </c>
    </row>
    <row r="15" spans="1:7" x14ac:dyDescent="0.25">
      <c r="A15" t="s">
        <v>29</v>
      </c>
      <c r="B15">
        <v>28.4</v>
      </c>
      <c r="C15" t="s">
        <v>93</v>
      </c>
      <c r="D15" t="s">
        <v>103</v>
      </c>
      <c r="E15" t="s">
        <v>104</v>
      </c>
    </row>
    <row r="16" spans="1:7" x14ac:dyDescent="0.25">
      <c r="A16" t="s">
        <v>30</v>
      </c>
      <c r="B16">
        <v>0</v>
      </c>
      <c r="C16" t="s">
        <v>93</v>
      </c>
      <c r="D16" s="1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8782-21FA-4298-8CD2-04BF34B30789}">
  <dimension ref="A1:F20"/>
  <sheetViews>
    <sheetView workbookViewId="0">
      <selection activeCell="D27" sqref="D27"/>
    </sheetView>
  </sheetViews>
  <sheetFormatPr defaultRowHeight="15" x14ac:dyDescent="0.25"/>
  <sheetData>
    <row r="1" spans="1:6" x14ac:dyDescent="0.25">
      <c r="A1" s="3" t="s">
        <v>107</v>
      </c>
    </row>
    <row r="2" spans="1:6" ht="15.75" thickBot="1" x14ac:dyDescent="0.3">
      <c r="A2" s="18" t="s">
        <v>108</v>
      </c>
      <c r="B2" s="18" t="s">
        <v>109</v>
      </c>
      <c r="C2" s="18" t="s">
        <v>110</v>
      </c>
      <c r="D2" s="19" t="s">
        <v>111</v>
      </c>
      <c r="E2" s="18" t="s">
        <v>112</v>
      </c>
      <c r="F2" s="20" t="s">
        <v>110</v>
      </c>
    </row>
    <row r="3" spans="1:6" x14ac:dyDescent="0.25">
      <c r="A3" s="3" t="s">
        <v>113</v>
      </c>
      <c r="B3" t="s">
        <v>114</v>
      </c>
      <c r="C3" t="s">
        <v>83</v>
      </c>
      <c r="D3">
        <f>D4*D5*(1-D6)*(D7*(1-D8)/D9)</f>
        <v>87.325775070989351</v>
      </c>
    </row>
    <row r="4" spans="1:6" x14ac:dyDescent="0.25">
      <c r="A4" t="s">
        <v>115</v>
      </c>
      <c r="B4" t="s">
        <v>116</v>
      </c>
      <c r="D4" s="10">
        <v>3676.0683760683701</v>
      </c>
    </row>
    <row r="5" spans="1:6" x14ac:dyDescent="0.25">
      <c r="A5" t="s">
        <v>117</v>
      </c>
      <c r="D5">
        <v>0.49222092828706998</v>
      </c>
      <c r="E5" t="s">
        <v>118</v>
      </c>
    </row>
    <row r="6" spans="1:6" x14ac:dyDescent="0.25">
      <c r="A6" t="s">
        <v>119</v>
      </c>
      <c r="D6">
        <v>0.03</v>
      </c>
      <c r="E6" s="21">
        <v>0.01</v>
      </c>
    </row>
    <row r="7" spans="1:6" x14ac:dyDescent="0.25">
      <c r="A7" t="s">
        <v>120</v>
      </c>
      <c r="B7" t="s">
        <v>121</v>
      </c>
      <c r="D7">
        <v>0.15403929282883699</v>
      </c>
    </row>
    <row r="8" spans="1:6" x14ac:dyDescent="0.25">
      <c r="A8" t="s">
        <v>122</v>
      </c>
      <c r="D8">
        <v>0.64395916871050696</v>
      </c>
    </row>
    <row r="9" spans="1:6" x14ac:dyDescent="0.25">
      <c r="A9" t="s">
        <v>123</v>
      </c>
      <c r="D9">
        <v>1.1023113109243901</v>
      </c>
      <c r="E9" t="s">
        <v>124</v>
      </c>
    </row>
    <row r="10" spans="1:6" x14ac:dyDescent="0.25">
      <c r="A10" t="s">
        <v>125</v>
      </c>
      <c r="D10">
        <v>1012</v>
      </c>
      <c r="E10" t="s">
        <v>126</v>
      </c>
    </row>
    <row r="11" spans="1:6" x14ac:dyDescent="0.25">
      <c r="A11" t="s">
        <v>127</v>
      </c>
      <c r="D11">
        <v>0.85</v>
      </c>
      <c r="E11" t="s">
        <v>128</v>
      </c>
    </row>
    <row r="12" spans="1:6" x14ac:dyDescent="0.25">
      <c r="A12" t="s">
        <v>129</v>
      </c>
      <c r="D12">
        <v>20</v>
      </c>
      <c r="E12" t="s">
        <v>130</v>
      </c>
    </row>
    <row r="13" spans="1:6" x14ac:dyDescent="0.25">
      <c r="A13" t="s">
        <v>131</v>
      </c>
      <c r="D13" s="10">
        <v>8.5470085470085402E-5</v>
      </c>
      <c r="E13" t="s">
        <v>132</v>
      </c>
    </row>
    <row r="14" spans="1:6" x14ac:dyDescent="0.25">
      <c r="A14" t="s">
        <v>133</v>
      </c>
      <c r="D14">
        <v>25</v>
      </c>
      <c r="E14" t="s">
        <v>134</v>
      </c>
    </row>
    <row r="15" spans="1:6" x14ac:dyDescent="0.25">
      <c r="A15" s="3" t="s">
        <v>135</v>
      </c>
      <c r="B15" t="s">
        <v>136</v>
      </c>
      <c r="D15">
        <f>D16 *(1-D8)/D9</f>
        <v>8.0744333056655251E-2</v>
      </c>
      <c r="E15" t="s">
        <v>137</v>
      </c>
    </row>
    <row r="16" spans="1:6" x14ac:dyDescent="0.25">
      <c r="A16" t="s">
        <v>138</v>
      </c>
      <c r="B16" t="s">
        <v>139</v>
      </c>
      <c r="D16">
        <v>0.249986472897059</v>
      </c>
    </row>
    <row r="17" spans="1:5" x14ac:dyDescent="0.25">
      <c r="A17" t="s">
        <v>140</v>
      </c>
      <c r="D17">
        <v>3.6666666666666701</v>
      </c>
      <c r="E17" t="s">
        <v>141</v>
      </c>
    </row>
    <row r="19" spans="1:5" x14ac:dyDescent="0.25">
      <c r="A19" s="3" t="s">
        <v>142</v>
      </c>
      <c r="B19" t="s">
        <v>143</v>
      </c>
      <c r="D19">
        <f>D20*D7*(1-D8)/D9</f>
        <v>1.8120514032696062E-2</v>
      </c>
      <c r="E19" t="s">
        <v>137</v>
      </c>
    </row>
    <row r="20" spans="1:5" x14ac:dyDescent="0.25">
      <c r="A20" t="s">
        <v>144</v>
      </c>
      <c r="D20">
        <v>0.36420294611850601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F4-6D0E-4BC8-8AFC-0764B2A32407}">
  <dimension ref="A2:O23"/>
  <sheetViews>
    <sheetView workbookViewId="0">
      <selection activeCell="H10" sqref="H10"/>
    </sheetView>
  </sheetViews>
  <sheetFormatPr defaultRowHeight="15" x14ac:dyDescent="0.25"/>
  <cols>
    <col min="1" max="1" width="19.5703125" customWidth="1"/>
    <col min="7" max="7" width="47.28515625" customWidth="1"/>
    <col min="8" max="8" width="46.85546875" customWidth="1"/>
  </cols>
  <sheetData>
    <row r="2" spans="1:15" x14ac:dyDescent="0.25">
      <c r="A2">
        <v>1</v>
      </c>
      <c r="B2" t="s">
        <v>158</v>
      </c>
      <c r="G2" t="s">
        <v>145</v>
      </c>
      <c r="H2" t="s">
        <v>182</v>
      </c>
      <c r="I2" t="s">
        <v>54</v>
      </c>
      <c r="J2">
        <f>'Fertilizer credit for compost'!A14</f>
        <v>0.29528799999999999</v>
      </c>
      <c r="K2" t="s">
        <v>148</v>
      </c>
      <c r="L2" t="s">
        <v>153</v>
      </c>
      <c r="M2" t="s">
        <v>68</v>
      </c>
      <c r="O2" t="s">
        <v>33</v>
      </c>
    </row>
    <row r="3" spans="1:15" x14ac:dyDescent="0.25">
      <c r="A3">
        <v>2.5</v>
      </c>
      <c r="B3" t="s">
        <v>159</v>
      </c>
      <c r="G3" t="s">
        <v>146</v>
      </c>
      <c r="H3" t="s">
        <v>183</v>
      </c>
      <c r="I3" t="s">
        <v>54</v>
      </c>
      <c r="J3">
        <f>'Fertilizer credit for compost'!A12</f>
        <v>0.168736</v>
      </c>
      <c r="K3" t="s">
        <v>148</v>
      </c>
      <c r="L3" t="s">
        <v>153</v>
      </c>
      <c r="M3" t="s">
        <v>68</v>
      </c>
      <c r="O3" t="s">
        <v>33</v>
      </c>
    </row>
    <row r="4" spans="1:15" x14ac:dyDescent="0.25">
      <c r="A4">
        <v>4</v>
      </c>
      <c r="B4" t="s">
        <v>155</v>
      </c>
      <c r="G4" t="s">
        <v>147</v>
      </c>
      <c r="H4" t="s">
        <v>184</v>
      </c>
      <c r="I4" t="s">
        <v>54</v>
      </c>
      <c r="J4">
        <f>'Fertilizer credit for compost'!A13</f>
        <v>0.253104</v>
      </c>
      <c r="K4" t="s">
        <v>148</v>
      </c>
      <c r="L4" t="s">
        <v>153</v>
      </c>
      <c r="M4" t="s">
        <v>68</v>
      </c>
      <c r="O4" t="s">
        <v>33</v>
      </c>
    </row>
    <row r="5" spans="1:15" x14ac:dyDescent="0.25">
      <c r="A5">
        <v>6</v>
      </c>
      <c r="B5" t="s">
        <v>156</v>
      </c>
    </row>
    <row r="6" spans="1:15" x14ac:dyDescent="0.25">
      <c r="A6">
        <v>7</v>
      </c>
      <c r="B6" t="s">
        <v>157</v>
      </c>
    </row>
    <row r="8" spans="1:15" x14ac:dyDescent="0.25">
      <c r="A8" t="s">
        <v>152</v>
      </c>
      <c r="B8" t="s">
        <v>154</v>
      </c>
    </row>
    <row r="9" spans="1:15" x14ac:dyDescent="0.25">
      <c r="A9" s="3" t="s">
        <v>151</v>
      </c>
    </row>
    <row r="10" spans="1:15" x14ac:dyDescent="0.25">
      <c r="A10">
        <v>1</v>
      </c>
      <c r="B10" t="s">
        <v>160</v>
      </c>
    </row>
    <row r="11" spans="1:15" x14ac:dyDescent="0.25">
      <c r="A11">
        <v>0.10546</v>
      </c>
      <c r="B11" t="s">
        <v>159</v>
      </c>
    </row>
    <row r="12" spans="1:15" x14ac:dyDescent="0.25">
      <c r="A12">
        <f>$A$11/$A$3*A4</f>
        <v>0.168736</v>
      </c>
      <c r="B12" t="s">
        <v>155</v>
      </c>
    </row>
    <row r="13" spans="1:15" x14ac:dyDescent="0.25">
      <c r="A13">
        <f>$A$11/$A$3*A5</f>
        <v>0.253104</v>
      </c>
      <c r="B13" t="s">
        <v>156</v>
      </c>
    </row>
    <row r="14" spans="1:15" x14ac:dyDescent="0.25">
      <c r="A14">
        <f t="shared" ref="A14" si="0">$A$11/$A$3*A6</f>
        <v>0.29528799999999999</v>
      </c>
      <c r="B14" t="s">
        <v>157</v>
      </c>
    </row>
    <row r="18" spans="1:15" x14ac:dyDescent="0.25">
      <c r="A18" s="3" t="s">
        <v>161</v>
      </c>
    </row>
    <row r="19" spans="1:15" x14ac:dyDescent="0.25">
      <c r="A19">
        <v>1</v>
      </c>
      <c r="B19" t="s">
        <v>160</v>
      </c>
      <c r="G19" t="s">
        <v>145</v>
      </c>
      <c r="H19" t="s">
        <v>182</v>
      </c>
      <c r="I19" t="s">
        <v>54</v>
      </c>
      <c r="J19">
        <v>1.7808000000000002</v>
      </c>
      <c r="K19" t="s">
        <v>148</v>
      </c>
      <c r="L19" t="s">
        <v>153</v>
      </c>
      <c r="M19" t="s">
        <v>68</v>
      </c>
      <c r="O19" t="s">
        <v>33</v>
      </c>
    </row>
    <row r="20" spans="1:15" x14ac:dyDescent="0.25">
      <c r="A20">
        <v>0.63600000000000001</v>
      </c>
      <c r="B20" t="s">
        <v>159</v>
      </c>
      <c r="G20" t="s">
        <v>146</v>
      </c>
      <c r="H20" t="s">
        <v>183</v>
      </c>
      <c r="I20" t="s">
        <v>54</v>
      </c>
      <c r="J20">
        <v>1.0176000000000001</v>
      </c>
      <c r="K20" t="s">
        <v>148</v>
      </c>
      <c r="L20" t="s">
        <v>153</v>
      </c>
      <c r="M20" t="s">
        <v>68</v>
      </c>
      <c r="O20" t="s">
        <v>33</v>
      </c>
    </row>
    <row r="21" spans="1:15" x14ac:dyDescent="0.25">
      <c r="A21">
        <f>$A$20/$A$3*A4</f>
        <v>1.0176000000000001</v>
      </c>
      <c r="B21" t="s">
        <v>155</v>
      </c>
      <c r="G21" t="s">
        <v>147</v>
      </c>
      <c r="H21" t="s">
        <v>184</v>
      </c>
      <c r="I21" t="s">
        <v>54</v>
      </c>
      <c r="J21">
        <v>1.5264000000000002</v>
      </c>
      <c r="K21" t="s">
        <v>148</v>
      </c>
      <c r="L21" t="s">
        <v>153</v>
      </c>
      <c r="M21" t="s">
        <v>68</v>
      </c>
      <c r="O21" t="s">
        <v>33</v>
      </c>
    </row>
    <row r="22" spans="1:15" x14ac:dyDescent="0.25">
      <c r="A22">
        <f>$A$20/$A$3*A5</f>
        <v>1.5264000000000002</v>
      </c>
      <c r="B22" t="s">
        <v>156</v>
      </c>
    </row>
    <row r="23" spans="1:15" x14ac:dyDescent="0.25">
      <c r="A23">
        <f>$A$20/$A$3*A6</f>
        <v>1.7808000000000002</v>
      </c>
      <c r="B23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483-8BE5-4223-B419-E3DE6D98BB0C}">
  <dimension ref="A3:D12"/>
  <sheetViews>
    <sheetView workbookViewId="0">
      <selection activeCell="D8" sqref="D8"/>
    </sheetView>
  </sheetViews>
  <sheetFormatPr defaultRowHeight="15" x14ac:dyDescent="0.25"/>
  <cols>
    <col min="1" max="1" width="19" customWidth="1"/>
    <col min="2" max="2" width="13.42578125" customWidth="1"/>
  </cols>
  <sheetData>
    <row r="3" spans="1:4" x14ac:dyDescent="0.25">
      <c r="B3" t="s">
        <v>163</v>
      </c>
      <c r="C3" t="s">
        <v>90</v>
      </c>
      <c r="D3" t="s">
        <v>152</v>
      </c>
    </row>
    <row r="4" spans="1:4" x14ac:dyDescent="0.25">
      <c r="A4" t="s">
        <v>164</v>
      </c>
      <c r="B4">
        <v>18.63</v>
      </c>
      <c r="C4" t="s">
        <v>165</v>
      </c>
    </row>
    <row r="5" spans="1:4" x14ac:dyDescent="0.25">
      <c r="A5" t="s">
        <v>166</v>
      </c>
      <c r="B5">
        <v>38.32</v>
      </c>
      <c r="C5" t="s">
        <v>167</v>
      </c>
    </row>
    <row r="6" spans="1:4" x14ac:dyDescent="0.25">
      <c r="A6" t="s">
        <v>168</v>
      </c>
      <c r="B6">
        <f>B4/B5</f>
        <v>0.48616910229645088</v>
      </c>
      <c r="C6" t="s">
        <v>169</v>
      </c>
    </row>
    <row r="7" spans="1:4" ht="30" x14ac:dyDescent="0.25">
      <c r="A7" s="23" t="s">
        <v>170</v>
      </c>
      <c r="B7">
        <v>2579984</v>
      </c>
      <c r="C7" t="s">
        <v>149</v>
      </c>
      <c r="D7" t="s">
        <v>173</v>
      </c>
    </row>
    <row r="8" spans="1:4" x14ac:dyDescent="0.25">
      <c r="A8" t="s">
        <v>171</v>
      </c>
      <c r="B8">
        <v>60000</v>
      </c>
      <c r="C8" t="s">
        <v>172</v>
      </c>
      <c r="D8" t="s">
        <v>191</v>
      </c>
    </row>
    <row r="12" spans="1:4" x14ac:dyDescent="0.25">
      <c r="A12" t="s">
        <v>174</v>
      </c>
      <c r="B12">
        <f>B7*B6/B8</f>
        <v>20.905141753653442</v>
      </c>
      <c r="C12" t="s">
        <v>175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LCI</vt:lpstr>
      <vt:lpstr>Transportation</vt:lpstr>
      <vt:lpstr>Landfill Equations (WARM)</vt:lpstr>
      <vt:lpstr>Fertilizer credit for compost</vt:lpstr>
      <vt:lpstr>Natural gas credit 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2025-06-13T19:14:03Z</dcterms:modified>
</cp:coreProperties>
</file>