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macdo55\Downloads\Jupyter Notebooks\"/>
    </mc:Choice>
  </mc:AlternateContent>
  <xr:revisionPtr revIDLastSave="0" documentId="13_ncr:1_{27537E6C-96C5-4AEB-935F-34C39C177BC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CI" sheetId="1" r:id="rId1"/>
    <sheet name="Comparing windrow models" sheetId="6" r:id="rId2"/>
    <sheet name="Transportation" sheetId="2" r:id="rId3"/>
    <sheet name="Landfill Equations (WARM)" sheetId="3" r:id="rId4"/>
    <sheet name="Fertilizer credit for compost" sheetId="4" r:id="rId5"/>
    <sheet name="Natural gas credit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G114" i="1"/>
  <c r="G164" i="1"/>
  <c r="D149" i="1"/>
  <c r="D132" i="1" s="1"/>
  <c r="D133" i="1"/>
  <c r="D131" i="1"/>
  <c r="D129" i="1"/>
  <c r="D130" i="1"/>
  <c r="D80" i="1"/>
  <c r="D78" i="1"/>
  <c r="D76" i="1"/>
  <c r="D74" i="1"/>
  <c r="D22" i="6"/>
  <c r="D24" i="6"/>
  <c r="D23" i="6"/>
  <c r="D166" i="1" l="1"/>
  <c r="E11" i="6" l="1"/>
  <c r="D77" i="1" l="1"/>
  <c r="B13" i="5"/>
  <c r="D61" i="1" l="1"/>
  <c r="D21" i="1"/>
  <c r="D22" i="1"/>
  <c r="D23" i="1"/>
  <c r="F304" i="1"/>
  <c r="B12" i="5"/>
  <c r="J4" i="4" l="1"/>
  <c r="J3" i="4"/>
  <c r="J2" i="4"/>
  <c r="E276" i="1"/>
  <c r="E324" i="1" l="1"/>
  <c r="E323" i="1"/>
  <c r="A323" i="1"/>
  <c r="E304" i="1"/>
  <c r="E305" i="1" s="1"/>
  <c r="A304" i="1" l="1"/>
  <c r="D160" i="1"/>
  <c r="F159" i="1"/>
  <c r="A159" i="1"/>
  <c r="D143" i="1"/>
  <c r="F142" i="1"/>
  <c r="A142" i="1"/>
  <c r="D107" i="1"/>
  <c r="D90" i="1"/>
  <c r="F106" i="1"/>
  <c r="A106" i="1"/>
  <c r="A89" i="1"/>
  <c r="F89" i="1"/>
  <c r="D126" i="1"/>
  <c r="D73" i="1"/>
  <c r="E44" i="1"/>
  <c r="E45" i="1" s="1"/>
  <c r="B6" i="5" l="1"/>
  <c r="D179" i="1"/>
  <c r="F176" i="1"/>
  <c r="A176" i="1"/>
  <c r="D206" i="1"/>
  <c r="F203" i="1"/>
  <c r="A203" i="1"/>
  <c r="A251" i="1"/>
  <c r="D254" i="1"/>
  <c r="F251" i="1"/>
  <c r="A276" i="1"/>
  <c r="D287" i="1"/>
  <c r="D286" i="1"/>
  <c r="D285" i="1"/>
  <c r="D284" i="1"/>
  <c r="D283" i="1"/>
  <c r="D282" i="1"/>
  <c r="D281" i="1"/>
  <c r="D280" i="1"/>
  <c r="D279" i="1"/>
  <c r="D278" i="1"/>
  <c r="D277" i="1"/>
  <c r="F276" i="1"/>
  <c r="D233" i="1"/>
  <c r="A23" i="4"/>
  <c r="A22" i="4"/>
  <c r="A21" i="4"/>
  <c r="A13" i="4"/>
  <c r="A14" i="4"/>
  <c r="A12" i="4"/>
  <c r="D49" i="1"/>
  <c r="D14" i="1"/>
  <c r="E12" i="1" l="1"/>
  <c r="E11" i="1"/>
  <c r="D19" i="3"/>
  <c r="D15" i="3"/>
  <c r="D3" i="3"/>
  <c r="D14" i="2"/>
  <c r="B14" i="2"/>
  <c r="D13" i="2"/>
  <c r="F230" i="1"/>
  <c r="F125" i="1"/>
  <c r="A125" i="1"/>
  <c r="F72" i="1"/>
  <c r="D59" i="1"/>
  <c r="D58" i="1"/>
  <c r="D57" i="1"/>
  <c r="D56" i="1"/>
  <c r="D55" i="1"/>
  <c r="D54" i="1"/>
  <c r="D53" i="1"/>
  <c r="D52" i="1"/>
  <c r="D51" i="1"/>
  <c r="D50" i="1"/>
  <c r="D48" i="1"/>
  <c r="D47" i="1"/>
  <c r="D46" i="1"/>
  <c r="D45" i="1"/>
  <c r="F44" i="1"/>
  <c r="D20" i="1"/>
  <c r="D19" i="1"/>
  <c r="D18" i="1"/>
  <c r="D17" i="1"/>
  <c r="D15" i="1"/>
  <c r="D13" i="1"/>
  <c r="D12" i="1"/>
  <c r="F11" i="1"/>
</calcChain>
</file>

<file path=xl/sharedStrings.xml><?xml version="1.0" encoding="utf-8"?>
<sst xmlns="http://schemas.openxmlformats.org/spreadsheetml/2006/main" count="1480" uniqueCount="221">
  <si>
    <t>Database</t>
  </si>
  <si>
    <t>OWM LCA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</si>
  <si>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</si>
  <si>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</si>
  <si>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</si>
  <si>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</si>
  <si>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</si>
  <si>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</si>
  <si>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</si>
  <si>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</si>
  <si>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</si>
  <si>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</si>
  <si>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</si>
  <si>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</si>
  <si>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</si>
  <si>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</si>
  <si>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</si>
  <si>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</si>
  <si>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</si>
  <si>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technosphere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</si>
  <si>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</si>
  <si>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</si>
  <si>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</si>
  <si>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</si>
  <si>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</si>
  <si>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</si>
  <si>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</si>
  <si>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</si>
  <si>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</si>
  <si>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Closed-tunnel Composter</t>
  </si>
  <si>
    <t>AD</t>
  </si>
  <si>
    <t>adapted from Lewerenz et al., 2023; represents montreal CTMO</t>
  </si>
  <si>
    <t>DE</t>
  </si>
  <si>
    <t>output</t>
  </si>
  <si>
    <t>market for electricity, low voltage</t>
  </si>
  <si>
    <t>electricity, low voltage</t>
  </si>
  <si>
    <t>kilowatt hour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</si>
  <si>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</si>
  <si>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</si>
  <si>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</si>
  <si>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</si>
  <si>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</si>
  <si>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municipal waste collection service by 21 metric ton lorry</t>
  </si>
  <si>
    <t>municipal waste collection service by 21 metric ton lorry</t>
  </si>
  <si>
    <t>ton kilometer</t>
  </si>
  <si>
    <t>market for transport, freight, lorry &gt;32 metric ton, EURO5</t>
  </si>
  <si>
    <t>transport, freight, lorry &gt;32 metric ton, EURO5</t>
  </si>
  <si>
    <t>RER</t>
  </si>
  <si>
    <t>composting facility construction, open</t>
  </si>
  <si>
    <t>composting facility, open</t>
  </si>
  <si>
    <t>RoW</t>
  </si>
  <si>
    <t>input, this is more specified in the original LCA</t>
  </si>
  <si>
    <t>market for municipal solid waste</t>
  </si>
  <si>
    <t>municipal solid waste</t>
  </si>
  <si>
    <t>kilogram</t>
  </si>
  <si>
    <t>market for wastewater, average</t>
  </si>
  <si>
    <t>wastewater, average</t>
  </si>
  <si>
    <t>cubic meter</t>
  </si>
  <si>
    <t>Europe without Switzerland</t>
  </si>
  <si>
    <t>water</t>
  </si>
  <si>
    <t>biosphere</t>
  </si>
  <si>
    <t>air</t>
  </si>
  <si>
    <t>output, not sure if this is an elementary flow or technosphere, just said water</t>
  </si>
  <si>
    <t>Ammonia</t>
  </si>
  <si>
    <t>Carbon dioxide, non-fossil</t>
  </si>
  <si>
    <t>Dinitrogen monoxide</t>
  </si>
  <si>
    <t>Hydrogen sulfide</t>
  </si>
  <si>
    <t>Methane, non-fossil</t>
  </si>
  <si>
    <t>substitution</t>
  </si>
  <si>
    <t>adapted from Lewerenz et al., 2023; represents montreal biomethanization plant</t>
  </si>
  <si>
    <t>CH</t>
  </si>
  <si>
    <t>market for heat, central or small-scale, other than natural gas</t>
  </si>
  <si>
    <t>heat, central or small-scale, other than natural gas</t>
  </si>
  <si>
    <t>megajoule</t>
  </si>
  <si>
    <t>market for tap water</t>
  </si>
  <si>
    <t>tap water</t>
  </si>
  <si>
    <t>Nitrate</t>
  </si>
  <si>
    <t>Nitrite</t>
  </si>
  <si>
    <t>Nitrogen, organic bound</t>
  </si>
  <si>
    <t>Phosphorus</t>
  </si>
  <si>
    <t>digester sludge, Recycled Content cut-off</t>
  </si>
  <si>
    <t>digester sludge</t>
  </si>
  <si>
    <t>adapted from WARM 2023</t>
  </si>
  <si>
    <t>kwh</t>
  </si>
  <si>
    <t>Transportation Distance</t>
  </si>
  <si>
    <t xml:space="preserve">Montreal-est TS Adress: </t>
  </si>
  <si>
    <t>9000, place Marien, Montréal-Est</t>
  </si>
  <si>
    <t>note: assume all collection routes are the same and only consider distance from transfer station to facility, assume mtl-est transfer station (bc shared for both SSO and RW)</t>
  </si>
  <si>
    <t>Facility</t>
  </si>
  <si>
    <t xml:space="preserve">Distance </t>
  </si>
  <si>
    <t>units</t>
  </si>
  <si>
    <t>Address</t>
  </si>
  <si>
    <t>Note</t>
  </si>
  <si>
    <t>km</t>
  </si>
  <si>
    <t>2535, 1re Rue, Ste-Sophie (Qc) J0R 1S0</t>
  </si>
  <si>
    <t>3779, chemin des 40 Arpents, Lachenaie, QC J6V 9T6</t>
  </si>
  <si>
    <t>1001, Chemin St-Joseph, Saint-Thomas, QC J0K 3L0</t>
  </si>
  <si>
    <t>6985, chemin des Sources, Lachute</t>
  </si>
  <si>
    <t>25, rue Gagnon, St-Nicéphore (Qc) J2A 3H3</t>
  </si>
  <si>
    <t>702 route 137 sud, Sainte-Cécile-de-Milton, QC J0E 2C0</t>
  </si>
  <si>
    <t>908 Aurele Rd, Casselman, ON K0A 1M0</t>
  </si>
  <si>
    <t>not sure…</t>
  </si>
  <si>
    <t>2235 Rue Michel-Jurdant, Montréal, QC H1Z 4N1</t>
  </si>
  <si>
    <t>9091 Henri Bourassa Blvd W, Saint-Laurent, Quebec H4S 1P7</t>
  </si>
  <si>
    <t>note: in reality I really don't think they would use the mtl est transfer station but why be specific for just this one</t>
  </si>
  <si>
    <t>can't find address currently</t>
  </si>
  <si>
    <t>general canadian facility, no transport</t>
  </si>
  <si>
    <t>Warm model parameters (MSW landfilling of Mixed Organics; LFG recovery and electricity generation, typical collection, wet conditions (k=0.06))</t>
  </si>
  <si>
    <t>Process and parameters</t>
  </si>
  <si>
    <t>Equation (if applicable)</t>
  </si>
  <si>
    <t>Unit</t>
  </si>
  <si>
    <t>Value</t>
  </si>
  <si>
    <t>Notes</t>
  </si>
  <si>
    <t>Electricity at grid</t>
  </si>
  <si>
    <t>electricity_from_CH4*CH4_recovered_for_energy*(1-system_down_time)*(final_yield_CH4*(1-moisture_content_mixed_organics)/tonne_to_sh_tn)</t>
  </si>
  <si>
    <t>electricity_from_CH4</t>
  </si>
  <si>
    <t>CH4_calorific_value*net_capacity*kWh_per_BTU_CH4/(density_CH4_for_electricity/1000000)</t>
  </si>
  <si>
    <t>CH4_recovered_for_energy</t>
  </si>
  <si>
    <t>%1. Source: Barlaz data</t>
  </si>
  <si>
    <t>system_down_time</t>
  </si>
  <si>
    <t>final_yield_CH4</t>
  </si>
  <si>
    <t>(1.24384729900016/GWP_CH4)*tonne_to_sh_tn/(1- moisture_content_mixed_organics)</t>
  </si>
  <si>
    <t>moisture_content_mixed_organics</t>
  </si>
  <si>
    <t>tonne_to_sh_tn</t>
  </si>
  <si>
    <t>Conversion of units from metric tonnes to short tons</t>
  </si>
  <si>
    <t>CH4_calorific_value</t>
  </si>
  <si>
    <t>BTU/m3 methane. Source: EPA 2013. LMOP Benefits Calculator</t>
  </si>
  <si>
    <t>net_capacity</t>
  </si>
  <si>
    <t>%1. Source: EPA 2005. LMOP Net capacity factor for generation units (availability, operating load, parasitic losses).</t>
  </si>
  <si>
    <t>density_CH4_for_electricity</t>
  </si>
  <si>
    <t>g/ft3</t>
  </si>
  <si>
    <t>kWh_per_BTU_CH4</t>
  </si>
  <si>
    <t>kWh of electricity generated per BTU methane. Source:  EPA 2005. LMOP Benefits Calculator.</t>
  </si>
  <si>
    <t>GWP_CH4</t>
  </si>
  <si>
    <t>IPCC 2007</t>
  </si>
  <si>
    <t>Carbon</t>
  </si>
  <si>
    <t>C_storage_final *(1-moisture_content_mixed_organics)/tonne_to_sh_tn</t>
  </si>
  <si>
    <t>t</t>
  </si>
  <si>
    <t>C_storage_final</t>
  </si>
  <si>
    <t>0.29606255454107*tonne_to_sh_tn/((1- moisture_content_mixed_organics)*C_to_CO2)</t>
  </si>
  <si>
    <t>C_to_CO2</t>
  </si>
  <si>
    <t>Conversion from carbon to CO2 according to molecular weights</t>
  </si>
  <si>
    <t>Methane</t>
  </si>
  <si>
    <t>CH4_emitted_final*final_yield_CH4*(1-moisture_content_mixed_organics)/tonne_to_sh_tn</t>
  </si>
  <si>
    <t>CH4_emitted_final</t>
  </si>
  <si>
    <t>inorganic nitrogen fertiliser, as N</t>
  </si>
  <si>
    <t>inorganic phosphorus fertiliser, as P2O5</t>
  </si>
  <si>
    <t>inorganic potassium fertiliser, as K2O</t>
  </si>
  <si>
    <t>RNA</t>
  </si>
  <si>
    <t>m3</t>
  </si>
  <si>
    <t>Data provided by waste connections</t>
  </si>
  <si>
    <t>Terrebonne compost</t>
  </si>
  <si>
    <t>source</t>
  </si>
  <si>
    <t>ecoinvent-3.8-cutoff</t>
  </si>
  <si>
    <t>https://doi.org/10.1016/j.jclepro.2016.06.150</t>
  </si>
  <si>
    <t>kg P2O5</t>
  </si>
  <si>
    <t>kg K2O</t>
  </si>
  <si>
    <t>kg N</t>
  </si>
  <si>
    <t>t dry compost</t>
  </si>
  <si>
    <t>t wet compost</t>
  </si>
  <si>
    <t>t OW</t>
  </si>
  <si>
    <t xml:space="preserve">NS compost </t>
  </si>
  <si>
    <t>lewerenz_Open Composter</t>
  </si>
  <si>
    <t>heating value</t>
  </si>
  <si>
    <t>Landfill gas</t>
  </si>
  <si>
    <t>MJ/m3</t>
  </si>
  <si>
    <t>Natural gas</t>
  </si>
  <si>
    <t>efficiency of LFG relative to NG</t>
  </si>
  <si>
    <t>%</t>
  </si>
  <si>
    <t xml:space="preserve">Annual production of GNR from AD </t>
  </si>
  <si>
    <t>Facility capacity</t>
  </si>
  <si>
    <t>t OW annually</t>
  </si>
  <si>
    <t>GHG report City</t>
  </si>
  <si>
    <t>m3/t OW</t>
  </si>
  <si>
    <t>NS_AD</t>
  </si>
  <si>
    <t>NS_compost</t>
  </si>
  <si>
    <t>CA-NS</t>
  </si>
  <si>
    <t>Colchester Composting Facility in Kemptown, Nova Scotia</t>
  </si>
  <si>
    <t>output, credit as avoided fertilizer because we know it is directly field applied</t>
  </si>
  <si>
    <t>nutrient supply from urea</t>
  </si>
  <si>
    <t>nutrient supply from monoammonium phosphate</t>
  </si>
  <si>
    <t>nutrient supply from potassium chloride</t>
  </si>
  <si>
    <t>soil</t>
  </si>
  <si>
    <t>Methane, from soil or biomass stock</t>
  </si>
  <si>
    <t>natural gas, high pressure</t>
  </si>
  <si>
    <t>market for natural gas, high pressure</t>
  </si>
  <si>
    <t xml:space="preserve">empty lorry km </t>
  </si>
  <si>
    <t>sensitivity, 50, 60 %</t>
  </si>
  <si>
    <t>ecoinvent-3.9.1-cutoff</t>
  </si>
  <si>
    <t>ecoinvent-3.9-biosphere</t>
  </si>
  <si>
    <t>OWM Facilities</t>
  </si>
  <si>
    <t>treatment of wastewater, average, wastewater treatment</t>
  </si>
  <si>
    <t>CA</t>
  </si>
  <si>
    <t>NMVOC, non-methane volatile organic compounds</t>
  </si>
  <si>
    <t>nutrient supply from potassium nitrate</t>
  </si>
  <si>
    <t>Courthouse Hill Energy Ltd.</t>
  </si>
  <si>
    <t>market for diesel</t>
  </si>
  <si>
    <t>diesel</t>
  </si>
  <si>
    <t>Annual production of RNG from landfill</t>
  </si>
  <si>
    <t>m3/ton OFMSW</t>
  </si>
  <si>
    <t>Avoided Natural gas AD</t>
  </si>
  <si>
    <t>Avoided Natural gas landfill</t>
  </si>
  <si>
    <t>wastewater</t>
  </si>
  <si>
    <t>terrebonne</t>
  </si>
  <si>
    <t>NS</t>
  </si>
  <si>
    <t>lewerenz</t>
  </si>
  <si>
    <t>Data source</t>
  </si>
  <si>
    <t xml:space="preserve">general name </t>
  </si>
  <si>
    <t xml:space="preserve">warm </t>
  </si>
  <si>
    <t>Windrow Compost</t>
  </si>
  <si>
    <t>Landfill</t>
  </si>
  <si>
    <t>CO2</t>
  </si>
  <si>
    <t>N2O</t>
  </si>
  <si>
    <t>electricity generated</t>
  </si>
  <si>
    <t>electricity consumed</t>
  </si>
  <si>
    <t>230800 BTU</t>
  </si>
  <si>
    <t xml:space="preserve">SETAC landfill </t>
  </si>
  <si>
    <t>WARM (ghgs in kg)</t>
  </si>
  <si>
    <t>ECCC (kg)</t>
  </si>
  <si>
    <t>diesel (kg)</t>
  </si>
  <si>
    <t>application of digestate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</si>
</sst>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E+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7" fillId="0" borderId="3" applyNumberFormat="0" applyFill="0" applyAlignment="0" applyProtection="0"/>
  </cellStyleXfs>
  <cellXfs count="29">
    <xf numFmtId="0" fontId="0" fillId="0" borderId="0" xfId="0"/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1" fillId="0" borderId="0" xfId="2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3" fillId="0" borderId="0" xfId="0" applyNumberFormat="1" applyFont="1"/>
    <xf numFmtId="1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right"/>
    </xf>
    <xf numFmtId="164" fontId="0" fillId="0" borderId="0" xfId="0" applyNumberFormat="1"/>
    <xf numFmtId="11" fontId="0" fillId="0" borderId="2" xfId="0" applyNumberFormat="1" applyBorder="1"/>
    <xf numFmtId="0" fontId="0" fillId="3" borderId="0" xfId="0" applyFill="1"/>
    <xf numFmtId="0" fontId="0" fillId="4" borderId="0" xfId="0" applyFill="1"/>
    <xf numFmtId="0" fontId="2" fillId="0" borderId="1" xfId="1"/>
    <xf numFmtId="0" fontId="2" fillId="0" borderId="0" xfId="1" applyBorder="1"/>
    <xf numFmtId="0" fontId="2" fillId="0" borderId="0" xfId="1" applyFill="1" applyBorder="1"/>
    <xf numFmtId="9" fontId="0" fillId="0" borderId="0" xfId="0" applyNumberFormat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/>
    </xf>
    <xf numFmtId="0" fontId="7" fillId="0" borderId="3" xfId="3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Border="1"/>
    <xf numFmtId="2" fontId="0" fillId="0" borderId="0" xfId="0" applyNumberFormat="1" applyBorder="1"/>
  </cellXfs>
  <cellStyles count="4">
    <cellStyle name="Heading 1" xfId="3" builtinId="16"/>
    <cellStyle name="Heading 3" xfId="1" builtinId="18"/>
    <cellStyle name="Normal" xfId="0" builtinId="0"/>
    <cellStyle name="Normal 2" xfId="2" xr:uid="{C1984B5A-0E98-421D-9649-8C2FA3852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acdo55\Downloads\extra%20facilities.xlsx" TargetMode="External"/><Relationship Id="rId1" Type="http://schemas.openxmlformats.org/officeDocument/2006/relationships/externalLinkPath" Target="/Users/smacdo55/Downloads/extra%20fac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E11" t="str">
            <v>CA-QC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9"/>
  <sheetViews>
    <sheetView tabSelected="1" topLeftCell="A196" zoomScale="68" workbookViewId="0">
      <selection activeCell="B284" sqref="B284"/>
    </sheetView>
  </sheetViews>
  <sheetFormatPr defaultRowHeight="15" x14ac:dyDescent="0.25"/>
  <cols>
    <col min="1" max="1" width="67.42578125" customWidth="1"/>
    <col min="2" max="2" width="50.85546875" customWidth="1"/>
    <col min="4" max="4" width="12.85546875" customWidth="1"/>
    <col min="6" max="6" width="28.140625" customWidth="1"/>
    <col min="7" max="7" width="18.85546875" customWidth="1"/>
  </cols>
  <sheetData>
    <row r="1" spans="1:10" x14ac:dyDescent="0.25">
      <c r="A1" s="1" t="s">
        <v>0</v>
      </c>
      <c r="B1" s="2" t="s">
        <v>190</v>
      </c>
    </row>
    <row r="3" spans="1:10" x14ac:dyDescent="0.25">
      <c r="A3" s="1" t="s">
        <v>2</v>
      </c>
      <c r="B3" s="2" t="s">
        <v>29</v>
      </c>
      <c r="C3" s="2"/>
      <c r="D3" s="2"/>
      <c r="E3" s="2"/>
      <c r="F3" s="2"/>
      <c r="G3" s="2"/>
      <c r="H3" s="2"/>
      <c r="I3" s="2"/>
    </row>
    <row r="4" spans="1:10" x14ac:dyDescent="0.25">
      <c r="A4" s="3" t="s">
        <v>3</v>
      </c>
      <c r="B4" t="s">
        <v>31</v>
      </c>
    </row>
    <row r="5" spans="1:10" x14ac:dyDescent="0.25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0" x14ac:dyDescent="0.25">
      <c r="A6" s="4" t="s">
        <v>6</v>
      </c>
      <c r="B6" s="6">
        <v>1</v>
      </c>
      <c r="C6" s="5"/>
      <c r="D6" s="5"/>
      <c r="E6" s="5"/>
      <c r="F6" s="5"/>
      <c r="G6" s="5"/>
      <c r="H6" s="5"/>
      <c r="I6" s="5"/>
    </row>
    <row r="7" spans="1:10" x14ac:dyDescent="0.25">
      <c r="A7" s="4" t="s">
        <v>7</v>
      </c>
      <c r="B7" s="7" t="s">
        <v>8</v>
      </c>
      <c r="C7" s="5"/>
      <c r="D7" s="5"/>
      <c r="E7" s="5"/>
      <c r="F7" s="5"/>
      <c r="G7" s="5"/>
      <c r="H7" s="5"/>
      <c r="I7" s="5"/>
    </row>
    <row r="9" spans="1:10" x14ac:dyDescent="0.25">
      <c r="A9" s="3" t="s">
        <v>9</v>
      </c>
    </row>
    <row r="10" spans="1:10" x14ac:dyDescent="0.25">
      <c r="A10" s="3" t="s">
        <v>10</v>
      </c>
      <c r="B10" s="3" t="s">
        <v>11</v>
      </c>
      <c r="C10" s="3" t="s">
        <v>7</v>
      </c>
      <c r="D10" s="8" t="s">
        <v>12</v>
      </c>
      <c r="E10" s="3" t="s">
        <v>4</v>
      </c>
      <c r="F10" s="3" t="s">
        <v>13</v>
      </c>
      <c r="G10" s="3" t="s">
        <v>14</v>
      </c>
      <c r="H10" s="3" t="s">
        <v>15</v>
      </c>
      <c r="I10" t="s">
        <v>3</v>
      </c>
    </row>
    <row r="11" spans="1:10" x14ac:dyDescent="0.25">
      <c r="A11" t="s">
        <v>29</v>
      </c>
      <c r="B11" t="s">
        <v>16</v>
      </c>
      <c r="C11" t="s">
        <v>8</v>
      </c>
      <c r="D11" s="9">
        <v>1</v>
      </c>
      <c r="E11" t="str">
        <f>B5</f>
        <v>CA-QC</v>
      </c>
      <c r="F11" t="str">
        <f>$B$1</f>
        <v>OWM Facilities</v>
      </c>
      <c r="G11" t="s">
        <v>17</v>
      </c>
      <c r="H11" s="3"/>
      <c r="I11" t="s">
        <v>33</v>
      </c>
    </row>
    <row r="12" spans="1:10" x14ac:dyDescent="0.25">
      <c r="A12" s="9" t="s">
        <v>34</v>
      </c>
      <c r="B12" t="s">
        <v>35</v>
      </c>
      <c r="C12" t="s">
        <v>36</v>
      </c>
      <c r="D12" s="10">
        <f>0.033*1000</f>
        <v>33</v>
      </c>
      <c r="E12" t="str">
        <f>B5</f>
        <v>CA-QC</v>
      </c>
      <c r="F12" s="20" t="s">
        <v>188</v>
      </c>
      <c r="G12" t="s">
        <v>19</v>
      </c>
      <c r="I12" t="s">
        <v>37</v>
      </c>
    </row>
    <row r="13" spans="1:10" x14ac:dyDescent="0.25">
      <c r="A13" t="s">
        <v>38</v>
      </c>
      <c r="B13" t="s">
        <v>39</v>
      </c>
      <c r="C13" t="s">
        <v>40</v>
      </c>
      <c r="D13" s="10">
        <f>0.000253016462365506*1000</f>
        <v>0.25301646236550601</v>
      </c>
      <c r="E13" t="s">
        <v>41</v>
      </c>
      <c r="F13" s="20" t="s">
        <v>188</v>
      </c>
      <c r="G13" t="s">
        <v>19</v>
      </c>
      <c r="I13" t="s">
        <v>37</v>
      </c>
    </row>
    <row r="14" spans="1:10" x14ac:dyDescent="0.25">
      <c r="A14" t="s">
        <v>45</v>
      </c>
      <c r="B14" t="s">
        <v>46</v>
      </c>
      <c r="C14" t="s">
        <v>44</v>
      </c>
      <c r="D14" s="10">
        <f>Transportation!B15</f>
        <v>28.4</v>
      </c>
      <c r="E14" t="s">
        <v>47</v>
      </c>
      <c r="F14" s="20" t="s">
        <v>188</v>
      </c>
      <c r="G14" t="s">
        <v>19</v>
      </c>
      <c r="I14" t="s">
        <v>37</v>
      </c>
      <c r="J14" t="s">
        <v>186</v>
      </c>
    </row>
    <row r="15" spans="1:10" x14ac:dyDescent="0.25">
      <c r="A15" t="s">
        <v>52</v>
      </c>
      <c r="B15" t="s">
        <v>53</v>
      </c>
      <c r="C15" t="s">
        <v>54</v>
      </c>
      <c r="D15" s="10">
        <f>0.0000185*1000</f>
        <v>1.8499999999999999E-2</v>
      </c>
      <c r="E15" t="s">
        <v>5</v>
      </c>
      <c r="F15" s="20" t="s">
        <v>188</v>
      </c>
      <c r="G15" t="s">
        <v>19</v>
      </c>
      <c r="I15" t="s">
        <v>33</v>
      </c>
    </row>
    <row r="16" spans="1:10" x14ac:dyDescent="0.25">
      <c r="A16" t="s">
        <v>191</v>
      </c>
      <c r="B16" t="s">
        <v>56</v>
      </c>
      <c r="C16" t="s">
        <v>57</v>
      </c>
      <c r="D16">
        <v>0.22500000000000001</v>
      </c>
      <c r="E16" t="s">
        <v>5</v>
      </c>
      <c r="F16" s="20" t="s">
        <v>188</v>
      </c>
      <c r="G16" t="s">
        <v>19</v>
      </c>
      <c r="I16" t="s">
        <v>33</v>
      </c>
    </row>
    <row r="17" spans="1:9" x14ac:dyDescent="0.25">
      <c r="A17" t="s">
        <v>59</v>
      </c>
      <c r="C17" t="s">
        <v>57</v>
      </c>
      <c r="D17" s="10">
        <f>0.000125*1000</f>
        <v>0.125</v>
      </c>
      <c r="F17" s="20" t="s">
        <v>189</v>
      </c>
      <c r="G17" t="s">
        <v>60</v>
      </c>
      <c r="H17" t="s">
        <v>61</v>
      </c>
      <c r="I17" t="s">
        <v>62</v>
      </c>
    </row>
    <row r="18" spans="1:9" x14ac:dyDescent="0.25">
      <c r="A18" t="s">
        <v>63</v>
      </c>
      <c r="C18" t="s">
        <v>54</v>
      </c>
      <c r="D18" s="11">
        <f>0.0000376*1000</f>
        <v>3.7600000000000001E-2</v>
      </c>
      <c r="F18" s="20" t="s">
        <v>189</v>
      </c>
      <c r="G18" t="s">
        <v>60</v>
      </c>
      <c r="H18" t="s">
        <v>61</v>
      </c>
      <c r="I18" t="s">
        <v>33</v>
      </c>
    </row>
    <row r="19" spans="1:9" x14ac:dyDescent="0.25">
      <c r="A19" t="s">
        <v>64</v>
      </c>
      <c r="C19" t="s">
        <v>54</v>
      </c>
      <c r="D19" s="10">
        <f>0.0936*1000</f>
        <v>93.600000000000009</v>
      </c>
      <c r="F19" s="20" t="s">
        <v>189</v>
      </c>
      <c r="G19" t="s">
        <v>60</v>
      </c>
      <c r="H19" t="s">
        <v>61</v>
      </c>
      <c r="I19" t="s">
        <v>33</v>
      </c>
    </row>
    <row r="20" spans="1:9" x14ac:dyDescent="0.25">
      <c r="A20" t="s">
        <v>65</v>
      </c>
      <c r="C20" t="s">
        <v>54</v>
      </c>
      <c r="D20" s="10">
        <f>0.000091*1000</f>
        <v>9.0999999999999998E-2</v>
      </c>
      <c r="F20" s="20" t="s">
        <v>189</v>
      </c>
      <c r="G20" t="s">
        <v>60</v>
      </c>
      <c r="H20" t="s">
        <v>61</v>
      </c>
      <c r="I20" t="s">
        <v>33</v>
      </c>
    </row>
    <row r="21" spans="1:9" x14ac:dyDescent="0.25">
      <c r="A21" t="s">
        <v>66</v>
      </c>
      <c r="C21" t="s">
        <v>54</v>
      </c>
      <c r="D21" s="10">
        <f>0.000526*1000</f>
        <v>0.52600000000000002</v>
      </c>
      <c r="F21" s="20" t="s">
        <v>189</v>
      </c>
      <c r="G21" t="s">
        <v>60</v>
      </c>
      <c r="H21" t="s">
        <v>61</v>
      </c>
      <c r="I21" t="s">
        <v>33</v>
      </c>
    </row>
    <row r="22" spans="1:9" x14ac:dyDescent="0.25">
      <c r="A22" t="s">
        <v>67</v>
      </c>
      <c r="C22" t="s">
        <v>54</v>
      </c>
      <c r="D22" s="10">
        <f>0.00264*1000</f>
        <v>2.64</v>
      </c>
      <c r="F22" s="20" t="s">
        <v>189</v>
      </c>
      <c r="G22" t="s">
        <v>60</v>
      </c>
      <c r="H22" t="s">
        <v>61</v>
      </c>
      <c r="I22" t="s">
        <v>33</v>
      </c>
    </row>
    <row r="23" spans="1:9" x14ac:dyDescent="0.25">
      <c r="A23" t="s">
        <v>193</v>
      </c>
      <c r="C23" t="s">
        <v>54</v>
      </c>
      <c r="D23" s="11">
        <f>0.000476*1000</f>
        <v>0.47600000000000003</v>
      </c>
      <c r="F23" s="20" t="s">
        <v>189</v>
      </c>
      <c r="G23" t="s">
        <v>60</v>
      </c>
      <c r="H23" t="s">
        <v>61</v>
      </c>
      <c r="I23" t="s">
        <v>33</v>
      </c>
    </row>
    <row r="24" spans="1:9" x14ac:dyDescent="0.25">
      <c r="A24" t="s">
        <v>179</v>
      </c>
      <c r="B24" t="s">
        <v>145</v>
      </c>
      <c r="C24" t="s">
        <v>54</v>
      </c>
      <c r="D24">
        <v>0.29528799999999999</v>
      </c>
      <c r="E24" t="s">
        <v>148</v>
      </c>
      <c r="F24" s="20" t="s">
        <v>188</v>
      </c>
      <c r="G24" t="s">
        <v>68</v>
      </c>
    </row>
    <row r="25" spans="1:9" x14ac:dyDescent="0.25">
      <c r="A25" t="s">
        <v>180</v>
      </c>
      <c r="B25" t="s">
        <v>146</v>
      </c>
      <c r="C25" t="s">
        <v>54</v>
      </c>
      <c r="D25">
        <v>0.168736</v>
      </c>
      <c r="E25" t="s">
        <v>148</v>
      </c>
      <c r="F25" s="20" t="s">
        <v>188</v>
      </c>
      <c r="G25" t="s">
        <v>68</v>
      </c>
    </row>
    <row r="26" spans="1:9" x14ac:dyDescent="0.25">
      <c r="A26" t="s">
        <v>194</v>
      </c>
      <c r="B26" t="s">
        <v>147</v>
      </c>
      <c r="C26" t="s">
        <v>54</v>
      </c>
      <c r="D26">
        <v>0.253104</v>
      </c>
      <c r="E26" t="s">
        <v>148</v>
      </c>
      <c r="F26" s="20" t="s">
        <v>188</v>
      </c>
      <c r="G26" t="s">
        <v>68</v>
      </c>
    </row>
    <row r="27" spans="1:9" x14ac:dyDescent="0.25">
      <c r="B27" s="11"/>
    </row>
    <row r="28" spans="1:9" x14ac:dyDescent="0.25">
      <c r="B28" s="11"/>
    </row>
    <row r="29" spans="1:9" x14ac:dyDescent="0.25">
      <c r="B29" s="11"/>
    </row>
    <row r="30" spans="1:9" x14ac:dyDescent="0.25">
      <c r="D30" s="12"/>
    </row>
    <row r="31" spans="1:9" x14ac:dyDescent="0.25">
      <c r="D31" s="12"/>
    </row>
    <row r="32" spans="1:9" x14ac:dyDescent="0.25">
      <c r="D32" s="12"/>
    </row>
    <row r="33" spans="1:9" x14ac:dyDescent="0.25">
      <c r="D33" s="12"/>
    </row>
    <row r="34" spans="1:9" x14ac:dyDescent="0.25">
      <c r="D34" s="12"/>
    </row>
    <row r="35" spans="1:9" x14ac:dyDescent="0.25">
      <c r="D35" s="12"/>
    </row>
    <row r="36" spans="1:9" x14ac:dyDescent="0.25">
      <c r="A36" s="1" t="s">
        <v>2</v>
      </c>
      <c r="B36" s="2" t="s">
        <v>30</v>
      </c>
      <c r="C36" s="2"/>
      <c r="D36" s="2"/>
      <c r="E36" s="2"/>
      <c r="F36" s="2"/>
      <c r="G36" s="2"/>
      <c r="H36" s="2"/>
      <c r="I36" s="2"/>
    </row>
    <row r="37" spans="1:9" x14ac:dyDescent="0.25">
      <c r="A37" s="3" t="s">
        <v>3</v>
      </c>
      <c r="B37" t="s">
        <v>69</v>
      </c>
    </row>
    <row r="38" spans="1:9" x14ac:dyDescent="0.25">
      <c r="A38" s="4" t="s">
        <v>4</v>
      </c>
      <c r="B38" s="5" t="s">
        <v>5</v>
      </c>
      <c r="C38" s="5"/>
      <c r="D38" s="5"/>
      <c r="E38" s="5"/>
      <c r="F38" s="5"/>
      <c r="G38" s="5"/>
      <c r="H38" s="5"/>
      <c r="I38" s="5"/>
    </row>
    <row r="39" spans="1:9" x14ac:dyDescent="0.25">
      <c r="A39" s="4" t="s">
        <v>6</v>
      </c>
      <c r="B39" s="6">
        <v>1</v>
      </c>
      <c r="C39" s="5"/>
      <c r="D39" s="5"/>
      <c r="E39" s="5"/>
      <c r="F39" s="5"/>
      <c r="G39" s="5"/>
      <c r="H39" s="5"/>
      <c r="I39" s="5"/>
    </row>
    <row r="40" spans="1:9" x14ac:dyDescent="0.25">
      <c r="A40" s="4" t="s">
        <v>7</v>
      </c>
      <c r="B40" s="5" t="s">
        <v>8</v>
      </c>
      <c r="C40" s="5"/>
      <c r="D40" s="5"/>
      <c r="E40" s="5"/>
      <c r="F40" s="5"/>
      <c r="G40" s="5"/>
      <c r="H40" s="5"/>
      <c r="I40" s="5"/>
    </row>
    <row r="42" spans="1:9" x14ac:dyDescent="0.25">
      <c r="A42" s="3" t="s">
        <v>9</v>
      </c>
    </row>
    <row r="43" spans="1:9" x14ac:dyDescent="0.25">
      <c r="A43" s="3" t="s">
        <v>10</v>
      </c>
      <c r="B43" s="3" t="s">
        <v>11</v>
      </c>
      <c r="C43" s="3" t="s">
        <v>7</v>
      </c>
      <c r="D43" s="8" t="s">
        <v>12</v>
      </c>
      <c r="E43" s="3" t="s">
        <v>4</v>
      </c>
      <c r="F43" s="3" t="s">
        <v>13</v>
      </c>
      <c r="G43" s="3" t="s">
        <v>14</v>
      </c>
      <c r="H43" s="3" t="s">
        <v>15</v>
      </c>
      <c r="I43" t="s">
        <v>3</v>
      </c>
    </row>
    <row r="44" spans="1:9" x14ac:dyDescent="0.25">
      <c r="A44" t="s">
        <v>30</v>
      </c>
      <c r="B44" t="s">
        <v>16</v>
      </c>
      <c r="C44" t="s">
        <v>8</v>
      </c>
      <c r="D44" s="12">
        <v>1</v>
      </c>
      <c r="E44" t="str">
        <f>B38</f>
        <v>CA-QC</v>
      </c>
      <c r="F44" t="str">
        <f>$B$1</f>
        <v>OWM Facilities</v>
      </c>
      <c r="G44" t="s">
        <v>17</v>
      </c>
    </row>
    <row r="45" spans="1:9" x14ac:dyDescent="0.25">
      <c r="A45" t="s">
        <v>34</v>
      </c>
      <c r="B45" t="s">
        <v>35</v>
      </c>
      <c r="C45" t="s">
        <v>36</v>
      </c>
      <c r="D45" s="10">
        <f>1000*0.002135</f>
        <v>2.1350000000000002</v>
      </c>
      <c r="E45" t="str">
        <f>E44</f>
        <v>CA-QC</v>
      </c>
      <c r="F45" s="20" t="s">
        <v>188</v>
      </c>
      <c r="G45" t="s">
        <v>19</v>
      </c>
    </row>
    <row r="46" spans="1:9" x14ac:dyDescent="0.25">
      <c r="A46" t="s">
        <v>71</v>
      </c>
      <c r="B46" t="s">
        <v>72</v>
      </c>
      <c r="C46" t="s">
        <v>73</v>
      </c>
      <c r="D46" s="10">
        <f>1000*0.2416</f>
        <v>241.60000000000002</v>
      </c>
      <c r="E46" t="s">
        <v>50</v>
      </c>
      <c r="F46" s="20" t="s">
        <v>188</v>
      </c>
      <c r="G46" t="s">
        <v>19</v>
      </c>
    </row>
    <row r="47" spans="1:9" x14ac:dyDescent="0.25">
      <c r="A47" t="s">
        <v>38</v>
      </c>
      <c r="B47" t="s">
        <v>39</v>
      </c>
      <c r="C47" t="s">
        <v>40</v>
      </c>
      <c r="D47" s="10">
        <f>1000*0.000352112676056338</f>
        <v>0.352112676056338</v>
      </c>
      <c r="E47" t="s">
        <v>41</v>
      </c>
      <c r="F47" s="20" t="s">
        <v>188</v>
      </c>
      <c r="G47" t="s">
        <v>19</v>
      </c>
    </row>
    <row r="48" spans="1:9" x14ac:dyDescent="0.25">
      <c r="A48" t="s">
        <v>74</v>
      </c>
      <c r="B48" t="s">
        <v>75</v>
      </c>
      <c r="C48" t="s">
        <v>54</v>
      </c>
      <c r="D48" s="10">
        <f>1000*0.225</f>
        <v>225</v>
      </c>
      <c r="E48" t="s">
        <v>70</v>
      </c>
      <c r="F48" s="20" t="s">
        <v>188</v>
      </c>
      <c r="G48" t="s">
        <v>19</v>
      </c>
    </row>
    <row r="49" spans="1:9" x14ac:dyDescent="0.25">
      <c r="A49" t="s">
        <v>45</v>
      </c>
      <c r="B49" t="s">
        <v>46</v>
      </c>
      <c r="C49" t="s">
        <v>44</v>
      </c>
      <c r="D49" s="10">
        <f>Transportation!B16</f>
        <v>0</v>
      </c>
      <c r="E49" t="s">
        <v>47</v>
      </c>
      <c r="F49" s="20" t="s">
        <v>188</v>
      </c>
      <c r="G49" t="s">
        <v>19</v>
      </c>
    </row>
    <row r="50" spans="1:9" x14ac:dyDescent="0.25">
      <c r="A50" t="s">
        <v>63</v>
      </c>
      <c r="C50" t="s">
        <v>54</v>
      </c>
      <c r="D50" s="11">
        <f>1000*0.0001456</f>
        <v>0.14559999999999998</v>
      </c>
      <c r="F50" s="20" t="s">
        <v>189</v>
      </c>
      <c r="G50" t="s">
        <v>60</v>
      </c>
      <c r="H50" t="s">
        <v>61</v>
      </c>
    </row>
    <row r="51" spans="1:9" x14ac:dyDescent="0.25">
      <c r="A51" t="s">
        <v>64</v>
      </c>
      <c r="C51" t="s">
        <v>54</v>
      </c>
      <c r="D51" s="11">
        <f>1000*0.0916</f>
        <v>91.6</v>
      </c>
      <c r="F51" s="20" t="s">
        <v>189</v>
      </c>
      <c r="G51" t="s">
        <v>60</v>
      </c>
      <c r="H51" t="s">
        <v>61</v>
      </c>
    </row>
    <row r="52" spans="1:9" x14ac:dyDescent="0.25">
      <c r="A52" t="s">
        <v>65</v>
      </c>
      <c r="C52" t="s">
        <v>54</v>
      </c>
      <c r="D52" s="11">
        <f>1000*0.00008</f>
        <v>0.08</v>
      </c>
      <c r="F52" s="20" t="s">
        <v>189</v>
      </c>
      <c r="G52" t="s">
        <v>60</v>
      </c>
      <c r="H52" t="s">
        <v>61</v>
      </c>
    </row>
    <row r="53" spans="1:9" x14ac:dyDescent="0.25">
      <c r="A53" t="s">
        <v>66</v>
      </c>
      <c r="C53" t="s">
        <v>54</v>
      </c>
      <c r="D53" s="11">
        <f>1000*0.0000896</f>
        <v>8.9599999999999999E-2</v>
      </c>
      <c r="F53" s="20" t="s">
        <v>189</v>
      </c>
      <c r="G53" t="s">
        <v>60</v>
      </c>
      <c r="H53" t="s">
        <v>61</v>
      </c>
    </row>
    <row r="54" spans="1:9" x14ac:dyDescent="0.25">
      <c r="A54" t="s">
        <v>67</v>
      </c>
      <c r="C54" t="s">
        <v>54</v>
      </c>
      <c r="D54" s="11">
        <f>1000*0.00274</f>
        <v>2.7399999999999998</v>
      </c>
      <c r="F54" s="20" t="s">
        <v>189</v>
      </c>
      <c r="G54" t="s">
        <v>60</v>
      </c>
      <c r="H54" t="s">
        <v>61</v>
      </c>
    </row>
    <row r="55" spans="1:9" x14ac:dyDescent="0.25">
      <c r="A55" t="s">
        <v>193</v>
      </c>
      <c r="C55" t="s">
        <v>54</v>
      </c>
      <c r="D55" s="10">
        <f>1000*0.000426</f>
        <v>0.42599999999999999</v>
      </c>
      <c r="F55" s="20" t="s">
        <v>189</v>
      </c>
      <c r="G55" t="s">
        <v>60</v>
      </c>
      <c r="H55" t="s">
        <v>61</v>
      </c>
    </row>
    <row r="56" spans="1:9" x14ac:dyDescent="0.25">
      <c r="A56" t="s">
        <v>76</v>
      </c>
      <c r="C56" t="s">
        <v>54</v>
      </c>
      <c r="D56" s="10">
        <f>1000*0.00000297</f>
        <v>2.97E-3</v>
      </c>
      <c r="F56" s="20" t="s">
        <v>189</v>
      </c>
      <c r="G56" t="s">
        <v>60</v>
      </c>
      <c r="H56" t="s">
        <v>61</v>
      </c>
    </row>
    <row r="57" spans="1:9" x14ac:dyDescent="0.25">
      <c r="A57" t="s">
        <v>77</v>
      </c>
      <c r="C57" t="s">
        <v>54</v>
      </c>
      <c r="D57" s="10">
        <f>1000*0.0000000928</f>
        <v>9.2799999999999992E-5</v>
      </c>
      <c r="F57" s="20" t="s">
        <v>189</v>
      </c>
      <c r="G57" t="s">
        <v>60</v>
      </c>
      <c r="H57" t="s">
        <v>59</v>
      </c>
    </row>
    <row r="58" spans="1:9" x14ac:dyDescent="0.25">
      <c r="A58" t="s">
        <v>78</v>
      </c>
      <c r="C58" t="s">
        <v>54</v>
      </c>
      <c r="D58" s="10">
        <f>1000*0.000000109</f>
        <v>1.0899999999999999E-4</v>
      </c>
      <c r="F58" s="20" t="s">
        <v>189</v>
      </c>
      <c r="G58" t="s">
        <v>60</v>
      </c>
      <c r="H58" t="s">
        <v>59</v>
      </c>
    </row>
    <row r="59" spans="1:9" x14ac:dyDescent="0.25">
      <c r="A59" t="s">
        <v>79</v>
      </c>
      <c r="C59" t="s">
        <v>54</v>
      </c>
      <c r="D59" s="10">
        <f>1000*0.0000000704</f>
        <v>7.039999999999999E-5</v>
      </c>
      <c r="F59" s="20" t="s">
        <v>189</v>
      </c>
      <c r="G59" t="s">
        <v>60</v>
      </c>
      <c r="H59" t="s">
        <v>61</v>
      </c>
    </row>
    <row r="60" spans="1:9" x14ac:dyDescent="0.25">
      <c r="A60" t="s">
        <v>191</v>
      </c>
      <c r="B60" t="s">
        <v>56</v>
      </c>
      <c r="C60" t="s">
        <v>57</v>
      </c>
      <c r="D60">
        <v>0.22500000000000001</v>
      </c>
      <c r="E60" t="s">
        <v>5</v>
      </c>
      <c r="F60" s="20" t="s">
        <v>188</v>
      </c>
      <c r="G60" t="s">
        <v>19</v>
      </c>
      <c r="I60" t="s">
        <v>33</v>
      </c>
    </row>
    <row r="61" spans="1:9" x14ac:dyDescent="0.25">
      <c r="A61" t="s">
        <v>185</v>
      </c>
      <c r="B61" t="s">
        <v>184</v>
      </c>
      <c r="C61" t="s">
        <v>57</v>
      </c>
      <c r="D61">
        <f>'Natural gas credit'!B12</f>
        <v>20.905141753653442</v>
      </c>
      <c r="E61" t="s">
        <v>192</v>
      </c>
      <c r="F61" s="20" t="s">
        <v>188</v>
      </c>
      <c r="G61" t="s">
        <v>68</v>
      </c>
    </row>
    <row r="62" spans="1:9" x14ac:dyDescent="0.25">
      <c r="A62" t="s">
        <v>179</v>
      </c>
      <c r="B62" t="s">
        <v>145</v>
      </c>
      <c r="C62" t="s">
        <v>54</v>
      </c>
      <c r="D62">
        <f>620*0.4</f>
        <v>248</v>
      </c>
      <c r="E62" t="s">
        <v>148</v>
      </c>
      <c r="F62" s="20" t="s">
        <v>188</v>
      </c>
      <c r="G62" t="s">
        <v>68</v>
      </c>
      <c r="I62" t="s">
        <v>220</v>
      </c>
    </row>
    <row r="64" spans="1:9" x14ac:dyDescent="0.25">
      <c r="A64" s="1" t="s">
        <v>2</v>
      </c>
      <c r="B64" t="s">
        <v>18</v>
      </c>
      <c r="C64" s="2"/>
      <c r="D64" s="2"/>
      <c r="E64" s="2"/>
      <c r="F64" s="2"/>
      <c r="G64" s="2"/>
      <c r="H64" s="2"/>
      <c r="I64" s="2"/>
    </row>
    <row r="65" spans="1:9" x14ac:dyDescent="0.25">
      <c r="A65" s="3" t="s">
        <v>3</v>
      </c>
      <c r="B65" t="s">
        <v>82</v>
      </c>
    </row>
    <row r="66" spans="1:9" x14ac:dyDescent="0.25">
      <c r="A66" s="4" t="s">
        <v>4</v>
      </c>
      <c r="B66" s="5" t="s">
        <v>5</v>
      </c>
      <c r="C66" s="5"/>
      <c r="D66" s="5"/>
      <c r="E66" s="5"/>
      <c r="F66" s="5"/>
      <c r="G66" s="5"/>
      <c r="H66" s="5"/>
      <c r="I66" s="5"/>
    </row>
    <row r="67" spans="1:9" x14ac:dyDescent="0.25">
      <c r="A67" s="4" t="s">
        <v>6</v>
      </c>
      <c r="B67" s="6">
        <v>1</v>
      </c>
      <c r="C67" s="5"/>
      <c r="D67" s="5"/>
      <c r="E67" s="5"/>
      <c r="F67" s="5"/>
      <c r="G67" s="5"/>
      <c r="H67" s="5"/>
      <c r="I67" s="5"/>
    </row>
    <row r="68" spans="1:9" x14ac:dyDescent="0.25">
      <c r="A68" s="4" t="s">
        <v>7</v>
      </c>
      <c r="B68" s="5" t="s">
        <v>8</v>
      </c>
      <c r="C68" s="5"/>
      <c r="D68" s="5"/>
      <c r="E68" s="5"/>
      <c r="F68" s="5"/>
      <c r="G68" s="5"/>
      <c r="H68" s="5"/>
      <c r="I68" s="5"/>
    </row>
    <row r="70" spans="1:9" x14ac:dyDescent="0.25">
      <c r="A70" s="3" t="s">
        <v>9</v>
      </c>
    </row>
    <row r="71" spans="1:9" x14ac:dyDescent="0.25">
      <c r="A71" s="3" t="s">
        <v>10</v>
      </c>
      <c r="B71" s="3" t="s">
        <v>11</v>
      </c>
      <c r="C71" s="3" t="s">
        <v>7</v>
      </c>
      <c r="D71" s="8" t="s">
        <v>12</v>
      </c>
      <c r="E71" s="3" t="s">
        <v>4</v>
      </c>
      <c r="F71" s="3" t="s">
        <v>13</v>
      </c>
      <c r="G71" s="3" t="s">
        <v>14</v>
      </c>
      <c r="H71" s="3" t="s">
        <v>15</v>
      </c>
      <c r="I71" t="s">
        <v>3</v>
      </c>
    </row>
    <row r="72" spans="1:9" x14ac:dyDescent="0.25">
      <c r="A72" t="s">
        <v>18</v>
      </c>
      <c r="B72" t="s">
        <v>16</v>
      </c>
      <c r="C72" t="s">
        <v>8</v>
      </c>
      <c r="D72" s="12">
        <v>1</v>
      </c>
      <c r="E72" t="s">
        <v>5</v>
      </c>
      <c r="F72" t="str">
        <f>$B$1</f>
        <v>OWM Facilities</v>
      </c>
      <c r="G72" t="s">
        <v>17</v>
      </c>
    </row>
    <row r="73" spans="1:9" x14ac:dyDescent="0.25">
      <c r="A73" t="s">
        <v>45</v>
      </c>
      <c r="B73" t="s">
        <v>46</v>
      </c>
      <c r="C73" t="s">
        <v>44</v>
      </c>
      <c r="D73" s="13">
        <f>Transportation!B4</f>
        <v>50.7</v>
      </c>
      <c r="E73" t="s">
        <v>47</v>
      </c>
      <c r="F73" s="20" t="s">
        <v>188</v>
      </c>
      <c r="G73" t="s">
        <v>19</v>
      </c>
    </row>
    <row r="74" spans="1:9" x14ac:dyDescent="0.25">
      <c r="A74" t="s">
        <v>196</v>
      </c>
      <c r="B74" t="s">
        <v>197</v>
      </c>
      <c r="C74" t="s">
        <v>54</v>
      </c>
      <c r="D74" s="13">
        <f>'Comparing windrow models'!C21</f>
        <v>0.68883085661884558</v>
      </c>
      <c r="E74" t="s">
        <v>50</v>
      </c>
      <c r="F74" s="20" t="s">
        <v>188</v>
      </c>
      <c r="G74" t="s">
        <v>19</v>
      </c>
      <c r="I74" t="s">
        <v>37</v>
      </c>
    </row>
    <row r="75" spans="1:9" x14ac:dyDescent="0.25">
      <c r="A75" t="s">
        <v>135</v>
      </c>
      <c r="C75" t="s">
        <v>54</v>
      </c>
      <c r="D75" s="13">
        <v>73.250026790475331</v>
      </c>
      <c r="F75" s="20" t="s">
        <v>189</v>
      </c>
      <c r="G75" t="s">
        <v>60</v>
      </c>
      <c r="H75" t="s">
        <v>182</v>
      </c>
    </row>
    <row r="76" spans="1:9" x14ac:dyDescent="0.25">
      <c r="A76" t="s">
        <v>183</v>
      </c>
      <c r="C76" t="s">
        <v>54</v>
      </c>
      <c r="D76" s="13">
        <f>'Comparing windrow models'!F23</f>
        <v>2.33552297919117</v>
      </c>
      <c r="F76" s="20" t="s">
        <v>189</v>
      </c>
      <c r="G76" t="s">
        <v>60</v>
      </c>
      <c r="H76" t="s">
        <v>61</v>
      </c>
    </row>
    <row r="77" spans="1:9" x14ac:dyDescent="0.25">
      <c r="A77" t="s">
        <v>185</v>
      </c>
      <c r="B77" t="s">
        <v>184</v>
      </c>
      <c r="C77" t="s">
        <v>57</v>
      </c>
      <c r="D77">
        <f>'Natural gas credit'!B13</f>
        <v>109.57129105566415</v>
      </c>
      <c r="E77" t="s">
        <v>192</v>
      </c>
      <c r="F77" s="20" t="s">
        <v>188</v>
      </c>
      <c r="G77" t="s">
        <v>68</v>
      </c>
    </row>
    <row r="78" spans="1:9" x14ac:dyDescent="0.25">
      <c r="A78" t="s">
        <v>65</v>
      </c>
      <c r="C78" t="s">
        <v>54</v>
      </c>
      <c r="D78">
        <f>'Comparing windrow models'!F27</f>
        <v>5.1972444828385896E-3</v>
      </c>
      <c r="F78" s="20" t="s">
        <v>189</v>
      </c>
      <c r="G78" t="s">
        <v>60</v>
      </c>
      <c r="H78" t="s">
        <v>61</v>
      </c>
      <c r="I78" t="s">
        <v>33</v>
      </c>
    </row>
    <row r="79" spans="1:9" x14ac:dyDescent="0.25">
      <c r="A79" t="s">
        <v>34</v>
      </c>
      <c r="B79" t="s">
        <v>35</v>
      </c>
      <c r="C79" t="s">
        <v>36</v>
      </c>
      <c r="D79">
        <v>36.273732772249062</v>
      </c>
      <c r="E79" t="s">
        <v>5</v>
      </c>
      <c r="F79" t="s">
        <v>188</v>
      </c>
      <c r="G79" t="s">
        <v>19</v>
      </c>
    </row>
    <row r="80" spans="1:9" x14ac:dyDescent="0.25">
      <c r="A80" t="s">
        <v>64</v>
      </c>
      <c r="C80" t="s">
        <v>54</v>
      </c>
      <c r="D80" s="10">
        <f>'Comparing windrow models'!F26</f>
        <v>21.671376530106802</v>
      </c>
      <c r="F80" s="20" t="s">
        <v>189</v>
      </c>
      <c r="G80" t="s">
        <v>60</v>
      </c>
      <c r="H80" t="s">
        <v>61</v>
      </c>
      <c r="I80" t="s">
        <v>33</v>
      </c>
    </row>
    <row r="81" spans="1:9" x14ac:dyDescent="0.25">
      <c r="A81" s="1" t="s">
        <v>2</v>
      </c>
      <c r="B81" t="s">
        <v>20</v>
      </c>
      <c r="C81" s="2"/>
      <c r="D81" s="2"/>
      <c r="E81" s="2"/>
      <c r="F81" s="2"/>
      <c r="G81" s="2"/>
      <c r="H81" s="2"/>
      <c r="I81" s="2"/>
    </row>
    <row r="82" spans="1:9" x14ac:dyDescent="0.25">
      <c r="A82" s="3" t="s">
        <v>3</v>
      </c>
      <c r="B82" t="s">
        <v>82</v>
      </c>
    </row>
    <row r="83" spans="1:9" x14ac:dyDescent="0.25">
      <c r="A83" s="4" t="s">
        <v>4</v>
      </c>
      <c r="B83" s="5" t="s">
        <v>5</v>
      </c>
      <c r="C83" s="5"/>
      <c r="D83" s="5"/>
      <c r="E83" s="5"/>
      <c r="F83" s="5"/>
      <c r="G83" s="5"/>
      <c r="H83" s="5"/>
      <c r="I83" s="5"/>
    </row>
    <row r="84" spans="1:9" x14ac:dyDescent="0.25">
      <c r="A84" s="4" t="s">
        <v>6</v>
      </c>
      <c r="B84" s="6">
        <v>1</v>
      </c>
      <c r="C84" s="5"/>
      <c r="D84" s="5"/>
      <c r="E84" s="5"/>
      <c r="F84" s="5"/>
      <c r="G84" s="5"/>
      <c r="H84" s="5"/>
      <c r="I84" s="5"/>
    </row>
    <row r="85" spans="1:9" x14ac:dyDescent="0.25">
      <c r="A85" s="4" t="s">
        <v>7</v>
      </c>
      <c r="B85" s="5" t="s">
        <v>8</v>
      </c>
      <c r="C85" s="5"/>
      <c r="D85" s="5"/>
      <c r="E85" s="5"/>
      <c r="F85" s="5"/>
      <c r="G85" s="5"/>
      <c r="H85" s="5"/>
      <c r="I85" s="5"/>
    </row>
    <row r="87" spans="1:9" x14ac:dyDescent="0.25">
      <c r="A87" s="3" t="s">
        <v>9</v>
      </c>
    </row>
    <row r="88" spans="1:9" x14ac:dyDescent="0.25">
      <c r="A88" s="3" t="s">
        <v>10</v>
      </c>
      <c r="B88" s="3" t="s">
        <v>11</v>
      </c>
      <c r="C88" s="3" t="s">
        <v>7</v>
      </c>
      <c r="D88" s="8" t="s">
        <v>12</v>
      </c>
      <c r="E88" s="3" t="s">
        <v>4</v>
      </c>
      <c r="F88" s="3" t="s">
        <v>13</v>
      </c>
      <c r="G88" s="3" t="s">
        <v>14</v>
      </c>
      <c r="H88" s="3" t="s">
        <v>15</v>
      </c>
      <c r="I88" t="s">
        <v>3</v>
      </c>
    </row>
    <row r="89" spans="1:9" x14ac:dyDescent="0.25">
      <c r="A89" t="str">
        <f>B81</f>
        <v>Landfill_terrebonne</v>
      </c>
      <c r="B89" t="s">
        <v>16</v>
      </c>
      <c r="C89" t="s">
        <v>8</v>
      </c>
      <c r="D89" s="12">
        <v>1</v>
      </c>
      <c r="E89" t="s">
        <v>5</v>
      </c>
      <c r="F89" t="str">
        <f>$B$1</f>
        <v>OWM Facilities</v>
      </c>
      <c r="G89" t="s">
        <v>17</v>
      </c>
    </row>
    <row r="90" spans="1:9" x14ac:dyDescent="0.25">
      <c r="A90" t="s">
        <v>45</v>
      </c>
      <c r="B90" t="s">
        <v>46</v>
      </c>
      <c r="C90" t="s">
        <v>44</v>
      </c>
      <c r="D90" s="13">
        <f>Transportation!B5</f>
        <v>15.6</v>
      </c>
      <c r="E90" t="s">
        <v>47</v>
      </c>
      <c r="F90" s="20" t="s">
        <v>188</v>
      </c>
      <c r="G90" t="s">
        <v>19</v>
      </c>
    </row>
    <row r="91" spans="1:9" x14ac:dyDescent="0.25">
      <c r="A91" t="s">
        <v>196</v>
      </c>
      <c r="B91" t="s">
        <v>197</v>
      </c>
      <c r="C91" t="s">
        <v>54</v>
      </c>
      <c r="D91" s="13">
        <v>0.68883085661884558</v>
      </c>
      <c r="E91" t="s">
        <v>50</v>
      </c>
      <c r="F91" s="20" t="s">
        <v>188</v>
      </c>
      <c r="G91" t="s">
        <v>19</v>
      </c>
      <c r="I91" t="s">
        <v>37</v>
      </c>
    </row>
    <row r="92" spans="1:9" x14ac:dyDescent="0.25">
      <c r="A92" t="s">
        <v>135</v>
      </c>
      <c r="C92" t="s">
        <v>54</v>
      </c>
      <c r="D92" s="13">
        <v>73.250026790475331</v>
      </c>
      <c r="F92" s="20" t="s">
        <v>189</v>
      </c>
      <c r="G92" t="s">
        <v>60</v>
      </c>
      <c r="H92" t="s">
        <v>182</v>
      </c>
    </row>
    <row r="93" spans="1:9" x14ac:dyDescent="0.25">
      <c r="A93" t="s">
        <v>183</v>
      </c>
      <c r="C93" t="s">
        <v>54</v>
      </c>
      <c r="D93" s="13">
        <v>2.33552297919117</v>
      </c>
      <c r="F93" s="20" t="s">
        <v>189</v>
      </c>
      <c r="G93" t="s">
        <v>60</v>
      </c>
      <c r="H93" t="s">
        <v>61</v>
      </c>
    </row>
    <row r="94" spans="1:9" x14ac:dyDescent="0.25">
      <c r="A94" t="s">
        <v>185</v>
      </c>
      <c r="B94" t="s">
        <v>184</v>
      </c>
      <c r="C94" t="s">
        <v>57</v>
      </c>
      <c r="D94">
        <v>109.57129105566415</v>
      </c>
      <c r="E94" t="s">
        <v>192</v>
      </c>
      <c r="F94" s="20" t="s">
        <v>188</v>
      </c>
      <c r="G94" t="s">
        <v>68</v>
      </c>
    </row>
    <row r="95" spans="1:9" x14ac:dyDescent="0.25">
      <c r="A95" t="s">
        <v>65</v>
      </c>
      <c r="C95" t="s">
        <v>54</v>
      </c>
      <c r="D95">
        <v>5.1972444828385896E-3</v>
      </c>
      <c r="F95" s="20" t="s">
        <v>189</v>
      </c>
      <c r="G95" t="s">
        <v>60</v>
      </c>
      <c r="H95" t="s">
        <v>61</v>
      </c>
      <c r="I95" t="s">
        <v>33</v>
      </c>
    </row>
    <row r="96" spans="1:9" x14ac:dyDescent="0.25">
      <c r="A96" t="s">
        <v>64</v>
      </c>
      <c r="C96" t="s">
        <v>54</v>
      </c>
      <c r="D96" s="10">
        <v>21.671376530106802</v>
      </c>
      <c r="F96" s="20" t="s">
        <v>189</v>
      </c>
      <c r="G96" t="s">
        <v>60</v>
      </c>
      <c r="H96" t="s">
        <v>61</v>
      </c>
      <c r="I96" t="s">
        <v>33</v>
      </c>
    </row>
    <row r="97" spans="1:9" x14ac:dyDescent="0.25">
      <c r="A97" t="s">
        <v>34</v>
      </c>
      <c r="B97" t="s">
        <v>35</v>
      </c>
      <c r="C97" t="s">
        <v>36</v>
      </c>
      <c r="D97">
        <v>36.273732772249062</v>
      </c>
      <c r="E97" t="s">
        <v>5</v>
      </c>
      <c r="F97" t="s">
        <v>188</v>
      </c>
      <c r="G97" t="s">
        <v>19</v>
      </c>
    </row>
    <row r="98" spans="1:9" x14ac:dyDescent="0.25">
      <c r="A98" s="1" t="s">
        <v>2</v>
      </c>
      <c r="B98" t="s">
        <v>21</v>
      </c>
      <c r="C98" s="2"/>
      <c r="D98" s="2"/>
      <c r="E98" s="2"/>
      <c r="F98" s="2"/>
      <c r="G98" s="2"/>
      <c r="H98" s="2"/>
      <c r="I98" s="2"/>
    </row>
    <row r="99" spans="1:9" x14ac:dyDescent="0.25">
      <c r="A99" s="3" t="s">
        <v>3</v>
      </c>
      <c r="B99" t="s">
        <v>82</v>
      </c>
    </row>
    <row r="100" spans="1:9" x14ac:dyDescent="0.25">
      <c r="A100" s="4" t="s">
        <v>4</v>
      </c>
      <c r="B100" s="5" t="s">
        <v>5</v>
      </c>
      <c r="C100" s="5"/>
      <c r="D100" s="5"/>
      <c r="E100" s="5"/>
      <c r="F100" s="5"/>
      <c r="G100" s="5"/>
      <c r="H100" s="5"/>
      <c r="I100" s="5"/>
    </row>
    <row r="101" spans="1:9" x14ac:dyDescent="0.25">
      <c r="A101" s="4" t="s">
        <v>6</v>
      </c>
      <c r="B101" s="6">
        <v>1</v>
      </c>
      <c r="C101" s="5"/>
      <c r="D101" s="5"/>
      <c r="E101" s="5"/>
      <c r="F101" s="5"/>
      <c r="G101" s="5"/>
      <c r="H101" s="5"/>
      <c r="I101" s="5"/>
    </row>
    <row r="102" spans="1:9" x14ac:dyDescent="0.25">
      <c r="A102" s="4" t="s">
        <v>7</v>
      </c>
      <c r="B102" s="5" t="s">
        <v>8</v>
      </c>
      <c r="C102" s="5"/>
      <c r="D102" s="5"/>
      <c r="E102" s="5"/>
      <c r="F102" s="5"/>
      <c r="G102" s="5"/>
      <c r="H102" s="5"/>
      <c r="I102" s="5"/>
    </row>
    <row r="104" spans="1:9" x14ac:dyDescent="0.25">
      <c r="A104" s="3" t="s">
        <v>9</v>
      </c>
    </row>
    <row r="105" spans="1:9" x14ac:dyDescent="0.25">
      <c r="A105" s="3" t="s">
        <v>10</v>
      </c>
      <c r="B105" s="3" t="s">
        <v>11</v>
      </c>
      <c r="C105" s="3" t="s">
        <v>7</v>
      </c>
      <c r="D105" s="8" t="s">
        <v>12</v>
      </c>
      <c r="E105" s="3" t="s">
        <v>4</v>
      </c>
      <c r="F105" s="3" t="s">
        <v>13</v>
      </c>
      <c r="G105" s="3" t="s">
        <v>14</v>
      </c>
      <c r="H105" s="3" t="s">
        <v>15</v>
      </c>
      <c r="I105" t="s">
        <v>3</v>
      </c>
    </row>
    <row r="106" spans="1:9" x14ac:dyDescent="0.25">
      <c r="A106" t="str">
        <f>B98</f>
        <v>Landfill_saint_thomas</v>
      </c>
      <c r="B106" t="s">
        <v>16</v>
      </c>
      <c r="C106" t="s">
        <v>8</v>
      </c>
      <c r="D106" s="12">
        <v>1</v>
      </c>
      <c r="E106" t="s">
        <v>5</v>
      </c>
      <c r="F106" t="str">
        <f>$B$1</f>
        <v>OWM Facilities</v>
      </c>
      <c r="G106" t="s">
        <v>17</v>
      </c>
    </row>
    <row r="107" spans="1:9" x14ac:dyDescent="0.25">
      <c r="A107" t="s">
        <v>45</v>
      </c>
      <c r="B107" t="s">
        <v>46</v>
      </c>
      <c r="C107" t="s">
        <v>44</v>
      </c>
      <c r="D107" s="13">
        <f>Transportation!B6</f>
        <v>59.6</v>
      </c>
      <c r="E107" t="s">
        <v>47</v>
      </c>
      <c r="F107" s="20" t="s">
        <v>188</v>
      </c>
      <c r="G107" t="s">
        <v>19</v>
      </c>
    </row>
    <row r="108" spans="1:9" x14ac:dyDescent="0.25">
      <c r="A108" t="s">
        <v>196</v>
      </c>
      <c r="B108" t="s">
        <v>197</v>
      </c>
      <c r="C108" t="s">
        <v>54</v>
      </c>
      <c r="D108">
        <v>0.68883085661884558</v>
      </c>
      <c r="E108" t="s">
        <v>50</v>
      </c>
      <c r="F108" s="20" t="s">
        <v>188</v>
      </c>
      <c r="G108" t="s">
        <v>19</v>
      </c>
      <c r="I108" t="s">
        <v>37</v>
      </c>
    </row>
    <row r="109" spans="1:9" x14ac:dyDescent="0.25">
      <c r="A109" t="s">
        <v>135</v>
      </c>
      <c r="C109" t="s">
        <v>54</v>
      </c>
      <c r="D109" s="13">
        <v>73.250026790475331</v>
      </c>
      <c r="F109" s="20" t="s">
        <v>189</v>
      </c>
      <c r="G109" t="s">
        <v>60</v>
      </c>
      <c r="H109" t="s">
        <v>182</v>
      </c>
    </row>
    <row r="110" spans="1:9" x14ac:dyDescent="0.25">
      <c r="A110" t="s">
        <v>183</v>
      </c>
      <c r="C110" t="s">
        <v>54</v>
      </c>
      <c r="D110" s="13">
        <v>2.33552297919117</v>
      </c>
      <c r="F110" s="20" t="s">
        <v>189</v>
      </c>
      <c r="G110" t="s">
        <v>60</v>
      </c>
      <c r="H110" t="s">
        <v>61</v>
      </c>
    </row>
    <row r="111" spans="1:9" x14ac:dyDescent="0.25">
      <c r="A111" t="s">
        <v>185</v>
      </c>
      <c r="B111" t="s">
        <v>184</v>
      </c>
      <c r="C111" t="s">
        <v>57</v>
      </c>
      <c r="D111">
        <v>109.57129105566415</v>
      </c>
      <c r="E111" t="s">
        <v>192</v>
      </c>
      <c r="F111" s="20" t="s">
        <v>188</v>
      </c>
      <c r="G111" t="s">
        <v>68</v>
      </c>
    </row>
    <row r="112" spans="1:9" x14ac:dyDescent="0.25">
      <c r="A112" t="s">
        <v>65</v>
      </c>
      <c r="C112" t="s">
        <v>54</v>
      </c>
      <c r="D112" s="10">
        <v>5.1972444828385896E-3</v>
      </c>
      <c r="F112" t="s">
        <v>189</v>
      </c>
      <c r="G112" t="s">
        <v>60</v>
      </c>
      <c r="H112" t="s">
        <v>61</v>
      </c>
      <c r="I112" t="s">
        <v>33</v>
      </c>
    </row>
    <row r="113" spans="1:9" x14ac:dyDescent="0.25">
      <c r="A113" t="s">
        <v>64</v>
      </c>
      <c r="C113" t="s">
        <v>54</v>
      </c>
      <c r="D113" s="11">
        <v>21.671376530106802</v>
      </c>
      <c r="F113" t="s">
        <v>189</v>
      </c>
      <c r="G113" t="s">
        <v>60</v>
      </c>
      <c r="H113" t="s">
        <v>61</v>
      </c>
      <c r="I113" t="s">
        <v>33</v>
      </c>
    </row>
    <row r="114" spans="1:9" x14ac:dyDescent="0.25">
      <c r="A114" t="s">
        <v>34</v>
      </c>
      <c r="B114" t="s">
        <v>35</v>
      </c>
      <c r="C114" t="s">
        <v>36</v>
      </c>
      <c r="D114">
        <v>36.273732772249062</v>
      </c>
      <c r="E114" t="s">
        <v>5</v>
      </c>
      <c r="F114" s="20" t="s">
        <v>188</v>
      </c>
      <c r="G114" t="str">
        <f>G108</f>
        <v>technosphere</v>
      </c>
    </row>
    <row r="115" spans="1:9" x14ac:dyDescent="0.25">
      <c r="D115" s="11"/>
    </row>
    <row r="116" spans="1:9" x14ac:dyDescent="0.25">
      <c r="D116" s="11"/>
    </row>
    <row r="117" spans="1:9" x14ac:dyDescent="0.25">
      <c r="A117" s="1" t="s">
        <v>2</v>
      </c>
      <c r="B117" t="s">
        <v>22</v>
      </c>
      <c r="C117" s="2"/>
      <c r="D117" s="2"/>
      <c r="E117" s="2"/>
      <c r="F117" s="2"/>
      <c r="G117" s="2"/>
      <c r="H117" s="2"/>
      <c r="I117" s="2"/>
    </row>
    <row r="118" spans="1:9" x14ac:dyDescent="0.25">
      <c r="A118" s="3" t="s">
        <v>3</v>
      </c>
      <c r="B118" t="s">
        <v>82</v>
      </c>
    </row>
    <row r="119" spans="1:9" x14ac:dyDescent="0.25">
      <c r="A119" s="4" t="s">
        <v>4</v>
      </c>
      <c r="B119" s="5" t="s">
        <v>5</v>
      </c>
      <c r="C119" s="5"/>
      <c r="D119" s="5"/>
      <c r="E119" s="5"/>
      <c r="F119" s="5"/>
      <c r="G119" s="5"/>
      <c r="H119" s="5"/>
      <c r="I119" s="5"/>
    </row>
    <row r="120" spans="1:9" x14ac:dyDescent="0.25">
      <c r="A120" s="4" t="s">
        <v>6</v>
      </c>
      <c r="B120" s="6">
        <v>1</v>
      </c>
      <c r="C120" s="5"/>
      <c r="D120" s="5"/>
      <c r="E120" s="5"/>
      <c r="F120" s="5"/>
      <c r="G120" s="5"/>
      <c r="H120" s="5"/>
      <c r="I120" s="5"/>
    </row>
    <row r="121" spans="1:9" x14ac:dyDescent="0.25">
      <c r="A121" s="4" t="s">
        <v>7</v>
      </c>
      <c r="B121" s="5" t="s">
        <v>8</v>
      </c>
      <c r="C121" s="5"/>
      <c r="D121" s="5"/>
      <c r="E121" s="5"/>
      <c r="F121" s="5"/>
      <c r="G121" s="5"/>
      <c r="H121" s="5"/>
      <c r="I121" s="5"/>
    </row>
    <row r="123" spans="1:9" x14ac:dyDescent="0.25">
      <c r="A123" s="3" t="s">
        <v>9</v>
      </c>
      <c r="I123" s="14"/>
    </row>
    <row r="124" spans="1:9" x14ac:dyDescent="0.25">
      <c r="A124" s="3" t="s">
        <v>10</v>
      </c>
      <c r="B124" s="3" t="s">
        <v>11</v>
      </c>
      <c r="C124" s="3" t="s">
        <v>7</v>
      </c>
      <c r="D124" s="8" t="s">
        <v>12</v>
      </c>
      <c r="E124" s="3" t="s">
        <v>4</v>
      </c>
      <c r="F124" s="3" t="s">
        <v>13</v>
      </c>
      <c r="G124" s="3" t="s">
        <v>14</v>
      </c>
      <c r="H124" s="3" t="s">
        <v>15</v>
      </c>
      <c r="I124" t="s">
        <v>3</v>
      </c>
    </row>
    <row r="125" spans="1:9" x14ac:dyDescent="0.25">
      <c r="A125" t="str">
        <f>B117</f>
        <v>Landfill_lachute</v>
      </c>
      <c r="B125" t="s">
        <v>16</v>
      </c>
      <c r="C125" t="s">
        <v>8</v>
      </c>
      <c r="D125" s="12">
        <v>1</v>
      </c>
      <c r="E125" t="s">
        <v>5</v>
      </c>
      <c r="F125" t="str">
        <f>$B$1</f>
        <v>OWM Facilities</v>
      </c>
      <c r="G125" t="s">
        <v>17</v>
      </c>
    </row>
    <row r="126" spans="1:9" x14ac:dyDescent="0.25">
      <c r="A126" t="s">
        <v>45</v>
      </c>
      <c r="B126" t="s">
        <v>46</v>
      </c>
      <c r="C126" t="s">
        <v>44</v>
      </c>
      <c r="D126" s="13">
        <f>Transportation!B7</f>
        <v>77.400000000000006</v>
      </c>
      <c r="E126" t="s">
        <v>47</v>
      </c>
      <c r="F126" s="20" t="s">
        <v>188</v>
      </c>
      <c r="G126" t="s">
        <v>19</v>
      </c>
    </row>
    <row r="127" spans="1:9" x14ac:dyDescent="0.25">
      <c r="A127" t="s">
        <v>196</v>
      </c>
      <c r="B127" t="s">
        <v>197</v>
      </c>
      <c r="C127" t="s">
        <v>54</v>
      </c>
      <c r="D127">
        <v>0.68883085661884558</v>
      </c>
      <c r="E127" t="s">
        <v>50</v>
      </c>
      <c r="F127" s="20" t="s">
        <v>188</v>
      </c>
      <c r="G127" t="s">
        <v>19</v>
      </c>
      <c r="I127" t="s">
        <v>37</v>
      </c>
    </row>
    <row r="128" spans="1:9" x14ac:dyDescent="0.25">
      <c r="A128" t="s">
        <v>135</v>
      </c>
      <c r="C128" t="s">
        <v>54</v>
      </c>
      <c r="D128" s="13">
        <v>73.250026790475331</v>
      </c>
      <c r="F128" s="20" t="s">
        <v>189</v>
      </c>
      <c r="G128" t="s">
        <v>60</v>
      </c>
      <c r="H128" t="s">
        <v>182</v>
      </c>
    </row>
    <row r="129" spans="1:9" x14ac:dyDescent="0.25">
      <c r="A129" t="s">
        <v>183</v>
      </c>
      <c r="C129" t="s">
        <v>54</v>
      </c>
      <c r="D129" s="13">
        <f>'Comparing windrow models'!F23</f>
        <v>2.33552297919117</v>
      </c>
      <c r="F129" s="20" t="s">
        <v>189</v>
      </c>
      <c r="G129" t="s">
        <v>60</v>
      </c>
      <c r="H129" t="s">
        <v>61</v>
      </c>
    </row>
    <row r="130" spans="1:9" x14ac:dyDescent="0.25">
      <c r="A130" t="s">
        <v>34</v>
      </c>
      <c r="B130" t="s">
        <v>35</v>
      </c>
      <c r="C130" t="s">
        <v>36</v>
      </c>
      <c r="D130">
        <f>'Comparing windrow models'!C28</f>
        <v>36.273732772249062</v>
      </c>
      <c r="E130" t="s">
        <v>5</v>
      </c>
      <c r="F130" s="20" t="s">
        <v>188</v>
      </c>
      <c r="G130" t="s">
        <v>19</v>
      </c>
    </row>
    <row r="131" spans="1:9" x14ac:dyDescent="0.25">
      <c r="A131" t="s">
        <v>65</v>
      </c>
      <c r="C131" t="s">
        <v>54</v>
      </c>
      <c r="D131" s="10">
        <f>'Comparing windrow models'!F27</f>
        <v>5.1972444828385896E-3</v>
      </c>
      <c r="F131" t="s">
        <v>189</v>
      </c>
      <c r="G131" t="s">
        <v>60</v>
      </c>
      <c r="H131" t="s">
        <v>61</v>
      </c>
      <c r="I131" t="s">
        <v>33</v>
      </c>
    </row>
    <row r="132" spans="1:9" x14ac:dyDescent="0.25">
      <c r="A132" t="s">
        <v>34</v>
      </c>
      <c r="B132" t="s">
        <v>35</v>
      </c>
      <c r="C132" t="s">
        <v>36</v>
      </c>
      <c r="D132">
        <f>D149</f>
        <v>76.028933376892383</v>
      </c>
      <c r="E132" t="s">
        <v>5</v>
      </c>
      <c r="F132" s="20" t="s">
        <v>188</v>
      </c>
      <c r="G132" t="s">
        <v>68</v>
      </c>
    </row>
    <row r="133" spans="1:9" x14ac:dyDescent="0.25">
      <c r="A133" t="s">
        <v>64</v>
      </c>
      <c r="C133" t="s">
        <v>54</v>
      </c>
      <c r="D133" s="11">
        <f>'Comparing windrow models'!F26</f>
        <v>21.671376530106802</v>
      </c>
      <c r="F133" t="s">
        <v>189</v>
      </c>
      <c r="G133" t="s">
        <v>60</v>
      </c>
      <c r="H133" t="s">
        <v>61</v>
      </c>
      <c r="I133" t="s">
        <v>33</v>
      </c>
    </row>
    <row r="134" spans="1:9" x14ac:dyDescent="0.25">
      <c r="A134" s="1" t="s">
        <v>2</v>
      </c>
      <c r="B134" t="s">
        <v>23</v>
      </c>
      <c r="C134" s="2"/>
      <c r="D134" s="2"/>
      <c r="E134" s="2"/>
      <c r="F134" s="2"/>
      <c r="G134" s="2"/>
      <c r="H134" s="2"/>
      <c r="I134" s="2"/>
    </row>
    <row r="135" spans="1:9" x14ac:dyDescent="0.25">
      <c r="A135" s="3" t="s">
        <v>3</v>
      </c>
      <c r="B135" t="s">
        <v>82</v>
      </c>
    </row>
    <row r="136" spans="1:9" x14ac:dyDescent="0.25">
      <c r="A136" s="4" t="s">
        <v>4</v>
      </c>
      <c r="B136" s="5" t="s">
        <v>5</v>
      </c>
      <c r="C136" s="5"/>
      <c r="D136" s="5"/>
      <c r="E136" s="5"/>
      <c r="F136" s="5"/>
      <c r="G136" s="5"/>
      <c r="H136" s="5"/>
      <c r="I136" s="5"/>
    </row>
    <row r="137" spans="1:9" x14ac:dyDescent="0.25">
      <c r="A137" s="4" t="s">
        <v>6</v>
      </c>
      <c r="B137" s="6">
        <v>1</v>
      </c>
      <c r="C137" s="5"/>
      <c r="D137" s="5"/>
      <c r="E137" s="5"/>
      <c r="F137" s="5"/>
      <c r="G137" s="5"/>
      <c r="H137" s="5"/>
      <c r="I137" s="5"/>
    </row>
    <row r="138" spans="1:9" x14ac:dyDescent="0.25">
      <c r="A138" s="4" t="s">
        <v>7</v>
      </c>
      <c r="B138" s="5" t="s">
        <v>8</v>
      </c>
      <c r="C138" s="5"/>
      <c r="D138" s="5"/>
      <c r="E138" s="5"/>
      <c r="F138" s="5"/>
      <c r="G138" s="5"/>
      <c r="H138" s="5"/>
      <c r="I138" s="5"/>
    </row>
    <row r="140" spans="1:9" x14ac:dyDescent="0.25">
      <c r="A140" s="3" t="s">
        <v>9</v>
      </c>
    </row>
    <row r="141" spans="1:9" x14ac:dyDescent="0.25">
      <c r="A141" s="3" t="s">
        <v>10</v>
      </c>
      <c r="B141" s="3" t="s">
        <v>11</v>
      </c>
      <c r="C141" s="3" t="s">
        <v>7</v>
      </c>
      <c r="D141" s="8" t="s">
        <v>12</v>
      </c>
      <c r="E141" s="3" t="s">
        <v>4</v>
      </c>
      <c r="F141" s="3" t="s">
        <v>13</v>
      </c>
      <c r="G141" s="3" t="s">
        <v>14</v>
      </c>
      <c r="H141" s="3" t="s">
        <v>15</v>
      </c>
      <c r="I141" t="s">
        <v>3</v>
      </c>
    </row>
    <row r="142" spans="1:9" x14ac:dyDescent="0.25">
      <c r="A142" t="str">
        <f>B134</f>
        <v>Landfill_st-nicephore</v>
      </c>
      <c r="B142" t="s">
        <v>16</v>
      </c>
      <c r="C142" t="s">
        <v>8</v>
      </c>
      <c r="D142" s="12">
        <v>1</v>
      </c>
      <c r="E142" t="s">
        <v>5</v>
      </c>
      <c r="F142" t="str">
        <f>$B$1</f>
        <v>OWM Facilities</v>
      </c>
      <c r="G142" t="s">
        <v>17</v>
      </c>
    </row>
    <row r="143" spans="1:9" x14ac:dyDescent="0.25">
      <c r="A143" t="s">
        <v>45</v>
      </c>
      <c r="B143" t="s">
        <v>46</v>
      </c>
      <c r="C143" t="s">
        <v>44</v>
      </c>
      <c r="D143" s="13">
        <f>Transportation!B9</f>
        <v>120</v>
      </c>
      <c r="E143" t="s">
        <v>47</v>
      </c>
      <c r="F143" s="20" t="s">
        <v>188</v>
      </c>
      <c r="G143" t="s">
        <v>19</v>
      </c>
    </row>
    <row r="144" spans="1:9" x14ac:dyDescent="0.25">
      <c r="A144" t="s">
        <v>196</v>
      </c>
      <c r="B144" t="s">
        <v>197</v>
      </c>
      <c r="C144" t="s">
        <v>54</v>
      </c>
      <c r="D144">
        <v>0.68883085661884558</v>
      </c>
      <c r="E144" t="s">
        <v>50</v>
      </c>
      <c r="F144" s="20" t="s">
        <v>188</v>
      </c>
      <c r="G144" t="s">
        <v>19</v>
      </c>
      <c r="I144" t="s">
        <v>37</v>
      </c>
    </row>
    <row r="145" spans="1:9" x14ac:dyDescent="0.25">
      <c r="A145" t="s">
        <v>135</v>
      </c>
      <c r="C145" t="s">
        <v>54</v>
      </c>
      <c r="D145" s="13">
        <v>73.250026790475331</v>
      </c>
      <c r="F145" s="20" t="s">
        <v>189</v>
      </c>
      <c r="G145" t="s">
        <v>60</v>
      </c>
      <c r="H145" t="s">
        <v>182</v>
      </c>
    </row>
    <row r="146" spans="1:9" x14ac:dyDescent="0.25">
      <c r="A146" t="s">
        <v>183</v>
      </c>
      <c r="C146" t="s">
        <v>54</v>
      </c>
      <c r="D146" s="13">
        <v>2.33552297919117</v>
      </c>
      <c r="F146" s="20" t="s">
        <v>189</v>
      </c>
      <c r="G146" t="s">
        <v>60</v>
      </c>
      <c r="H146" t="s">
        <v>61</v>
      </c>
    </row>
    <row r="147" spans="1:9" x14ac:dyDescent="0.25">
      <c r="A147" t="s">
        <v>34</v>
      </c>
      <c r="B147" t="s">
        <v>35</v>
      </c>
      <c r="C147" t="s">
        <v>36</v>
      </c>
      <c r="D147">
        <v>36.273732772249062</v>
      </c>
      <c r="E147" t="s">
        <v>5</v>
      </c>
      <c r="F147" s="20" t="s">
        <v>188</v>
      </c>
      <c r="G147" t="s">
        <v>19</v>
      </c>
    </row>
    <row r="148" spans="1:9" x14ac:dyDescent="0.25">
      <c r="A148" t="s">
        <v>65</v>
      </c>
      <c r="C148" t="s">
        <v>54</v>
      </c>
      <c r="D148" s="10">
        <v>5.1972444828385896E-3</v>
      </c>
      <c r="F148" t="s">
        <v>189</v>
      </c>
      <c r="G148" t="s">
        <v>60</v>
      </c>
      <c r="H148" t="s">
        <v>61</v>
      </c>
      <c r="I148" t="s">
        <v>33</v>
      </c>
    </row>
    <row r="149" spans="1:9" x14ac:dyDescent="0.25">
      <c r="A149" t="s">
        <v>34</v>
      </c>
      <c r="B149" t="s">
        <v>35</v>
      </c>
      <c r="C149" t="s">
        <v>36</v>
      </c>
      <c r="D149">
        <f>'Comparing windrow models'!D24</f>
        <v>76.028933376892383</v>
      </c>
      <c r="E149" t="s">
        <v>5</v>
      </c>
      <c r="F149" s="20" t="s">
        <v>188</v>
      </c>
      <c r="G149" t="s">
        <v>68</v>
      </c>
    </row>
    <row r="150" spans="1:9" x14ac:dyDescent="0.25">
      <c r="A150" t="s">
        <v>64</v>
      </c>
      <c r="C150" t="s">
        <v>54</v>
      </c>
      <c r="D150" s="11">
        <v>21.671376530106802</v>
      </c>
      <c r="F150" t="s">
        <v>189</v>
      </c>
      <c r="G150" t="s">
        <v>60</v>
      </c>
      <c r="H150" t="s">
        <v>61</v>
      </c>
      <c r="I150" t="s">
        <v>33</v>
      </c>
    </row>
    <row r="151" spans="1:9" x14ac:dyDescent="0.25">
      <c r="A151" s="1" t="s">
        <v>2</v>
      </c>
      <c r="B151" t="s">
        <v>24</v>
      </c>
      <c r="C151" s="2"/>
      <c r="D151" s="2"/>
      <c r="E151" s="2"/>
      <c r="F151" s="2"/>
      <c r="G151" s="2"/>
      <c r="H151" s="2"/>
      <c r="I151" s="2"/>
    </row>
    <row r="152" spans="1:9" x14ac:dyDescent="0.25">
      <c r="A152" s="3" t="s">
        <v>3</v>
      </c>
      <c r="B152" t="s">
        <v>82</v>
      </c>
    </row>
    <row r="153" spans="1:9" x14ac:dyDescent="0.25">
      <c r="A153" s="4" t="s">
        <v>4</v>
      </c>
      <c r="B153" s="5" t="s">
        <v>5</v>
      </c>
      <c r="C153" s="5"/>
      <c r="D153" s="5"/>
      <c r="E153" s="5"/>
      <c r="F153" s="5"/>
      <c r="G153" s="5"/>
      <c r="H153" s="5"/>
      <c r="I153" s="5"/>
    </row>
    <row r="154" spans="1:9" x14ac:dyDescent="0.25">
      <c r="A154" s="4" t="s">
        <v>6</v>
      </c>
      <c r="B154" s="6">
        <v>1</v>
      </c>
      <c r="C154" s="5"/>
      <c r="D154" s="5"/>
      <c r="E154" s="5"/>
      <c r="F154" s="5"/>
      <c r="G154" s="5"/>
      <c r="H154" s="5"/>
      <c r="I154" s="5"/>
    </row>
    <row r="155" spans="1:9" x14ac:dyDescent="0.25">
      <c r="A155" s="4" t="s">
        <v>7</v>
      </c>
      <c r="B155" s="5" t="s">
        <v>8</v>
      </c>
      <c r="C155" s="5"/>
      <c r="D155" s="5"/>
      <c r="E155" s="5"/>
      <c r="F155" s="5"/>
      <c r="G155" s="5"/>
      <c r="H155" s="5"/>
      <c r="I155" s="5"/>
    </row>
    <row r="157" spans="1:9" x14ac:dyDescent="0.25">
      <c r="A157" s="3" t="s">
        <v>9</v>
      </c>
    </row>
    <row r="158" spans="1:9" x14ac:dyDescent="0.25">
      <c r="A158" s="3" t="s">
        <v>10</v>
      </c>
      <c r="B158" s="3" t="s">
        <v>11</v>
      </c>
      <c r="C158" s="3" t="s">
        <v>7</v>
      </c>
      <c r="D158" s="8" t="s">
        <v>12</v>
      </c>
      <c r="E158" s="3" t="s">
        <v>4</v>
      </c>
      <c r="F158" s="3" t="s">
        <v>13</v>
      </c>
      <c r="G158" s="3" t="s">
        <v>14</v>
      </c>
      <c r="H158" s="3" t="s">
        <v>15</v>
      </c>
      <c r="I158" t="s">
        <v>3</v>
      </c>
    </row>
    <row r="159" spans="1:9" x14ac:dyDescent="0.25">
      <c r="A159" t="str">
        <f>B151</f>
        <v>Landfill_cecile_de_milton</v>
      </c>
      <c r="B159" t="s">
        <v>16</v>
      </c>
      <c r="C159" t="s">
        <v>8</v>
      </c>
      <c r="D159" s="12">
        <v>1</v>
      </c>
      <c r="E159" t="s">
        <v>5</v>
      </c>
      <c r="F159" t="str">
        <f>$B$1</f>
        <v>OWM Facilities</v>
      </c>
      <c r="G159" t="s">
        <v>17</v>
      </c>
    </row>
    <row r="160" spans="1:9" x14ac:dyDescent="0.25">
      <c r="A160" t="s">
        <v>45</v>
      </c>
      <c r="B160" t="s">
        <v>46</v>
      </c>
      <c r="C160" t="s">
        <v>44</v>
      </c>
      <c r="D160" s="13">
        <f>Transportation!B10</f>
        <v>86</v>
      </c>
      <c r="E160" t="s">
        <v>47</v>
      </c>
      <c r="F160" s="20" t="s">
        <v>188</v>
      </c>
      <c r="G160" t="s">
        <v>19</v>
      </c>
    </row>
    <row r="161" spans="1:9" x14ac:dyDescent="0.25">
      <c r="A161" t="s">
        <v>196</v>
      </c>
      <c r="B161" t="s">
        <v>197</v>
      </c>
      <c r="C161" t="s">
        <v>54</v>
      </c>
      <c r="D161">
        <v>0.68883085661884558</v>
      </c>
      <c r="E161" t="s">
        <v>50</v>
      </c>
      <c r="F161" s="20" t="s">
        <v>188</v>
      </c>
      <c r="G161" t="s">
        <v>19</v>
      </c>
      <c r="I161" t="s">
        <v>37</v>
      </c>
    </row>
    <row r="162" spans="1:9" x14ac:dyDescent="0.25">
      <c r="A162" t="s">
        <v>135</v>
      </c>
      <c r="C162" t="s">
        <v>54</v>
      </c>
      <c r="D162" s="13">
        <v>73.250026790475331</v>
      </c>
      <c r="F162" s="20" t="s">
        <v>189</v>
      </c>
      <c r="G162" t="s">
        <v>60</v>
      </c>
      <c r="H162" t="s">
        <v>182</v>
      </c>
    </row>
    <row r="163" spans="1:9" x14ac:dyDescent="0.25">
      <c r="A163" t="s">
        <v>183</v>
      </c>
      <c r="C163" t="s">
        <v>54</v>
      </c>
      <c r="D163" s="13">
        <v>2.33552297919117</v>
      </c>
      <c r="F163" s="20" t="s">
        <v>189</v>
      </c>
      <c r="G163" t="s">
        <v>60</v>
      </c>
      <c r="H163" t="s">
        <v>61</v>
      </c>
    </row>
    <row r="164" spans="1:9" x14ac:dyDescent="0.25">
      <c r="A164" t="s">
        <v>34</v>
      </c>
      <c r="B164" t="s">
        <v>35</v>
      </c>
      <c r="C164" t="s">
        <v>36</v>
      </c>
      <c r="D164">
        <v>36.273732772249062</v>
      </c>
      <c r="E164" t="s">
        <v>5</v>
      </c>
      <c r="F164" s="20" t="s">
        <v>188</v>
      </c>
      <c r="G164" t="str">
        <f>G147</f>
        <v>technosphere</v>
      </c>
    </row>
    <row r="165" spans="1:9" x14ac:dyDescent="0.25">
      <c r="A165" t="s">
        <v>65</v>
      </c>
      <c r="C165" t="s">
        <v>54</v>
      </c>
      <c r="D165" s="10">
        <v>5.1972444828385896E-3</v>
      </c>
      <c r="F165" t="s">
        <v>189</v>
      </c>
      <c r="G165" t="s">
        <v>60</v>
      </c>
      <c r="H165" t="s">
        <v>61</v>
      </c>
      <c r="I165" t="s">
        <v>33</v>
      </c>
    </row>
    <row r="166" spans="1:9" x14ac:dyDescent="0.25">
      <c r="A166" t="s">
        <v>34</v>
      </c>
      <c r="B166" t="s">
        <v>35</v>
      </c>
      <c r="C166" t="s">
        <v>36</v>
      </c>
      <c r="D166">
        <f>D149</f>
        <v>76.028933376892383</v>
      </c>
      <c r="E166" t="s">
        <v>5</v>
      </c>
      <c r="F166" s="20" t="s">
        <v>188</v>
      </c>
      <c r="G166" t="s">
        <v>68</v>
      </c>
    </row>
    <row r="167" spans="1:9" x14ac:dyDescent="0.25">
      <c r="A167" t="s">
        <v>64</v>
      </c>
      <c r="C167" t="s">
        <v>54</v>
      </c>
      <c r="D167" s="11">
        <v>21.671376530106802</v>
      </c>
      <c r="F167" t="s">
        <v>189</v>
      </c>
      <c r="G167" t="s">
        <v>60</v>
      </c>
      <c r="H167" t="s">
        <v>61</v>
      </c>
      <c r="I167" t="s">
        <v>33</v>
      </c>
    </row>
    <row r="168" spans="1:9" x14ac:dyDescent="0.25">
      <c r="A168" s="1" t="s">
        <v>2</v>
      </c>
      <c r="B168" t="s">
        <v>25</v>
      </c>
      <c r="C168" s="2"/>
      <c r="D168" s="2"/>
      <c r="E168" s="2"/>
      <c r="F168" s="2"/>
      <c r="G168" s="2"/>
      <c r="H168" s="2"/>
      <c r="I168" s="2"/>
    </row>
    <row r="169" spans="1:9" x14ac:dyDescent="0.25">
      <c r="A169" s="3" t="s">
        <v>3</v>
      </c>
      <c r="B169" t="s">
        <v>150</v>
      </c>
    </row>
    <row r="170" spans="1:9" x14ac:dyDescent="0.25">
      <c r="A170" s="4" t="s">
        <v>4</v>
      </c>
      <c r="B170" s="5" t="s">
        <v>5</v>
      </c>
      <c r="C170" s="5"/>
      <c r="D170" s="5"/>
      <c r="E170" s="5"/>
      <c r="F170" s="5"/>
      <c r="G170" s="5"/>
      <c r="H170" s="5"/>
      <c r="I170" s="5"/>
    </row>
    <row r="171" spans="1:9" x14ac:dyDescent="0.25">
      <c r="A171" s="4" t="s">
        <v>6</v>
      </c>
      <c r="B171" s="6">
        <v>1</v>
      </c>
      <c r="C171" s="5"/>
      <c r="D171" s="5"/>
      <c r="E171" s="5"/>
      <c r="F171" s="5"/>
      <c r="G171" s="5"/>
      <c r="H171" s="5"/>
      <c r="I171" s="5"/>
    </row>
    <row r="172" spans="1:9" x14ac:dyDescent="0.25">
      <c r="A172" s="4" t="s">
        <v>7</v>
      </c>
      <c r="B172" s="7" t="s">
        <v>8</v>
      </c>
      <c r="C172" s="5"/>
      <c r="D172" s="5"/>
      <c r="E172" s="5"/>
      <c r="F172" s="5"/>
      <c r="G172" s="5"/>
      <c r="H172" s="5"/>
      <c r="I172" s="5"/>
    </row>
    <row r="174" spans="1:9" x14ac:dyDescent="0.25">
      <c r="A174" s="3" t="s">
        <v>9</v>
      </c>
    </row>
    <row r="175" spans="1:9" x14ac:dyDescent="0.25">
      <c r="A175" s="3" t="s">
        <v>10</v>
      </c>
      <c r="B175" s="3" t="s">
        <v>11</v>
      </c>
      <c r="C175" s="3" t="s">
        <v>7</v>
      </c>
      <c r="D175" s="8" t="s">
        <v>12</v>
      </c>
      <c r="E175" s="3" t="s">
        <v>4</v>
      </c>
      <c r="F175" s="3" t="s">
        <v>13</v>
      </c>
      <c r="G175" s="3" t="s">
        <v>14</v>
      </c>
      <c r="H175" s="3" t="s">
        <v>15</v>
      </c>
      <c r="I175" t="s">
        <v>3</v>
      </c>
    </row>
    <row r="176" spans="1:9" x14ac:dyDescent="0.25">
      <c r="A176" t="str">
        <f>B168</f>
        <v>Composter_casselman</v>
      </c>
      <c r="B176" t="s">
        <v>16</v>
      </c>
      <c r="C176" t="s">
        <v>8</v>
      </c>
      <c r="D176" s="9">
        <v>1</v>
      </c>
      <c r="E176" t="s">
        <v>5</v>
      </c>
      <c r="F176" t="str">
        <f>$B$1</f>
        <v>OWM Facilities</v>
      </c>
      <c r="G176" t="s">
        <v>17</v>
      </c>
      <c r="H176" s="3"/>
      <c r="I176" t="s">
        <v>33</v>
      </c>
    </row>
    <row r="177" spans="1:9" x14ac:dyDescent="0.25">
      <c r="A177" s="9" t="s">
        <v>34</v>
      </c>
      <c r="B177" t="s">
        <v>35</v>
      </c>
      <c r="C177" t="s">
        <v>36</v>
      </c>
      <c r="D177">
        <v>1.6772116902968379</v>
      </c>
      <c r="E177" t="s">
        <v>5</v>
      </c>
      <c r="F177" s="20" t="s">
        <v>188</v>
      </c>
      <c r="G177" t="s">
        <v>19</v>
      </c>
      <c r="I177" t="s">
        <v>37</v>
      </c>
    </row>
    <row r="178" spans="1:9" x14ac:dyDescent="0.25">
      <c r="A178" t="s">
        <v>196</v>
      </c>
      <c r="B178" t="s">
        <v>197</v>
      </c>
      <c r="C178" t="s">
        <v>54</v>
      </c>
      <c r="D178" s="13">
        <v>2.5320055641349066</v>
      </c>
      <c r="E178" t="s">
        <v>50</v>
      </c>
      <c r="F178" s="20" t="s">
        <v>188</v>
      </c>
      <c r="G178" t="s">
        <v>19</v>
      </c>
      <c r="I178" t="s">
        <v>37</v>
      </c>
    </row>
    <row r="179" spans="1:9" x14ac:dyDescent="0.25">
      <c r="A179" t="s">
        <v>45</v>
      </c>
      <c r="B179" t="s">
        <v>46</v>
      </c>
      <c r="C179" t="s">
        <v>44</v>
      </c>
      <c r="D179" s="10">
        <f>Transportation!B11</f>
        <v>170</v>
      </c>
      <c r="E179" t="s">
        <v>47</v>
      </c>
      <c r="F179" s="20" t="s">
        <v>188</v>
      </c>
      <c r="G179" t="s">
        <v>19</v>
      </c>
      <c r="I179" t="s">
        <v>37</v>
      </c>
    </row>
    <row r="180" spans="1:9" x14ac:dyDescent="0.25">
      <c r="A180" t="s">
        <v>191</v>
      </c>
      <c r="B180" t="s">
        <v>56</v>
      </c>
      <c r="C180" t="s">
        <v>57</v>
      </c>
      <c r="D180">
        <v>7.28915519494213</v>
      </c>
      <c r="E180" t="s">
        <v>5</v>
      </c>
      <c r="F180" s="20" t="s">
        <v>188</v>
      </c>
      <c r="G180" t="s">
        <v>19</v>
      </c>
      <c r="I180" t="s">
        <v>33</v>
      </c>
    </row>
    <row r="181" spans="1:9" x14ac:dyDescent="0.25">
      <c r="A181" t="s">
        <v>63</v>
      </c>
      <c r="C181" t="s">
        <v>54</v>
      </c>
      <c r="D181">
        <v>5.6135340059469772E-4</v>
      </c>
      <c r="F181" s="20" t="s">
        <v>189</v>
      </c>
      <c r="G181" t="s">
        <v>60</v>
      </c>
      <c r="H181" t="s">
        <v>61</v>
      </c>
      <c r="I181" t="s">
        <v>33</v>
      </c>
    </row>
    <row r="182" spans="1:9" x14ac:dyDescent="0.25">
      <c r="A182" t="s">
        <v>65</v>
      </c>
      <c r="C182" t="s">
        <v>54</v>
      </c>
      <c r="D182">
        <v>1.3472481614272745E-5</v>
      </c>
      <c r="F182" s="20" t="s">
        <v>189</v>
      </c>
      <c r="G182" t="s">
        <v>60</v>
      </c>
      <c r="H182" t="s">
        <v>61</v>
      </c>
      <c r="I182" t="s">
        <v>33</v>
      </c>
    </row>
    <row r="183" spans="1:9" x14ac:dyDescent="0.25">
      <c r="A183" t="s">
        <v>67</v>
      </c>
      <c r="C183" t="s">
        <v>54</v>
      </c>
      <c r="D183" s="10">
        <v>2.6570727628149027E-3</v>
      </c>
      <c r="F183" s="20" t="s">
        <v>189</v>
      </c>
      <c r="G183" t="s">
        <v>60</v>
      </c>
      <c r="H183" t="s">
        <v>61</v>
      </c>
      <c r="I183" t="s">
        <v>33</v>
      </c>
    </row>
    <row r="184" spans="1:9" x14ac:dyDescent="0.25">
      <c r="A184" t="s">
        <v>193</v>
      </c>
      <c r="C184" t="s">
        <v>54</v>
      </c>
      <c r="D184" s="11">
        <v>1.0852832411497491E-3</v>
      </c>
      <c r="F184" s="20" t="s">
        <v>189</v>
      </c>
      <c r="G184" t="s">
        <v>60</v>
      </c>
      <c r="H184" t="s">
        <v>61</v>
      </c>
      <c r="I184" t="s">
        <v>33</v>
      </c>
    </row>
    <row r="185" spans="1:9" x14ac:dyDescent="0.25">
      <c r="A185" t="s">
        <v>179</v>
      </c>
      <c r="B185" t="s">
        <v>145</v>
      </c>
      <c r="C185" t="s">
        <v>54</v>
      </c>
      <c r="D185">
        <v>0.29528799999999999</v>
      </c>
      <c r="E185" t="s">
        <v>148</v>
      </c>
      <c r="F185" s="20" t="s">
        <v>188</v>
      </c>
      <c r="G185" t="s">
        <v>68</v>
      </c>
    </row>
    <row r="186" spans="1:9" x14ac:dyDescent="0.25">
      <c r="A186" t="s">
        <v>180</v>
      </c>
      <c r="B186" t="s">
        <v>146</v>
      </c>
      <c r="C186" t="s">
        <v>54</v>
      </c>
      <c r="D186">
        <v>0.168736</v>
      </c>
      <c r="E186" t="s">
        <v>148</v>
      </c>
      <c r="F186" s="20" t="s">
        <v>188</v>
      </c>
      <c r="G186" t="s">
        <v>68</v>
      </c>
    </row>
    <row r="187" spans="1:9" x14ac:dyDescent="0.25">
      <c r="A187" t="s">
        <v>194</v>
      </c>
      <c r="B187" t="s">
        <v>147</v>
      </c>
      <c r="C187" t="s">
        <v>54</v>
      </c>
      <c r="D187">
        <v>0.253104</v>
      </c>
      <c r="E187" t="s">
        <v>148</v>
      </c>
      <c r="F187" s="20" t="s">
        <v>188</v>
      </c>
      <c r="G187" t="s">
        <v>68</v>
      </c>
    </row>
    <row r="188" spans="1:9" x14ac:dyDescent="0.25">
      <c r="D188" s="10"/>
    </row>
    <row r="189" spans="1:9" x14ac:dyDescent="0.25">
      <c r="D189" s="10"/>
    </row>
    <row r="190" spans="1:9" x14ac:dyDescent="0.25">
      <c r="D190" s="11"/>
    </row>
    <row r="191" spans="1:9" x14ac:dyDescent="0.25">
      <c r="B191" s="11"/>
      <c r="D191" s="12"/>
      <c r="F191" s="20"/>
    </row>
    <row r="192" spans="1:9" x14ac:dyDescent="0.25">
      <c r="F192" s="20"/>
    </row>
    <row r="193" spans="1:9" x14ac:dyDescent="0.25">
      <c r="F193" s="20"/>
    </row>
    <row r="195" spans="1:9" x14ac:dyDescent="0.25">
      <c r="A195" s="1" t="s">
        <v>2</v>
      </c>
      <c r="B195" t="s">
        <v>26</v>
      </c>
      <c r="C195" s="2"/>
      <c r="D195" s="2"/>
      <c r="E195" s="2"/>
      <c r="F195" s="2"/>
      <c r="G195" s="2"/>
      <c r="H195" s="2"/>
      <c r="I195" s="2"/>
    </row>
    <row r="196" spans="1:9" x14ac:dyDescent="0.25">
      <c r="A196" s="3" t="s">
        <v>3</v>
      </c>
      <c r="B196" t="s">
        <v>150</v>
      </c>
    </row>
    <row r="197" spans="1:9" x14ac:dyDescent="0.25">
      <c r="A197" s="4" t="s">
        <v>4</v>
      </c>
      <c r="B197" s="5" t="s">
        <v>5</v>
      </c>
      <c r="C197" s="5"/>
      <c r="D197" s="5"/>
      <c r="E197" s="5"/>
      <c r="F197" s="5"/>
      <c r="G197" s="5"/>
      <c r="H197" s="5"/>
      <c r="I197" s="5"/>
    </row>
    <row r="198" spans="1:9" x14ac:dyDescent="0.25">
      <c r="A198" s="4" t="s">
        <v>6</v>
      </c>
      <c r="B198" s="6">
        <v>1</v>
      </c>
      <c r="C198" s="5"/>
      <c r="D198" s="5"/>
      <c r="E198" s="5"/>
      <c r="F198" s="5"/>
      <c r="G198" s="5"/>
      <c r="H198" s="5"/>
      <c r="I198" s="5"/>
    </row>
    <row r="199" spans="1:9" x14ac:dyDescent="0.25">
      <c r="A199" s="4" t="s">
        <v>7</v>
      </c>
      <c r="B199" s="7" t="s">
        <v>8</v>
      </c>
      <c r="C199" s="5"/>
      <c r="D199" s="5"/>
      <c r="E199" s="5"/>
      <c r="F199" s="5"/>
      <c r="G199" s="5"/>
      <c r="H199" s="5"/>
      <c r="I199" s="5"/>
    </row>
    <row r="201" spans="1:9" x14ac:dyDescent="0.25">
      <c r="A201" s="3" t="s">
        <v>9</v>
      </c>
    </row>
    <row r="202" spans="1:9" x14ac:dyDescent="0.25">
      <c r="A202" s="3" t="s">
        <v>10</v>
      </c>
      <c r="B202" s="3" t="s">
        <v>11</v>
      </c>
      <c r="C202" s="3" t="s">
        <v>7</v>
      </c>
      <c r="D202" s="8" t="s">
        <v>12</v>
      </c>
      <c r="E202" s="3" t="s">
        <v>4</v>
      </c>
      <c r="F202" s="3" t="s">
        <v>13</v>
      </c>
      <c r="G202" s="3" t="s">
        <v>14</v>
      </c>
      <c r="H202" s="3" t="s">
        <v>15</v>
      </c>
      <c r="I202" t="s">
        <v>3</v>
      </c>
    </row>
    <row r="203" spans="1:9" x14ac:dyDescent="0.25">
      <c r="A203" t="str">
        <f>B195</f>
        <v>Composter_complexe enviro st Michel</v>
      </c>
      <c r="B203" t="s">
        <v>16</v>
      </c>
      <c r="C203" t="s">
        <v>8</v>
      </c>
      <c r="D203" s="9">
        <v>1</v>
      </c>
      <c r="E203" t="s">
        <v>5</v>
      </c>
      <c r="F203" t="str">
        <f>$B$1</f>
        <v>OWM Facilities</v>
      </c>
      <c r="G203" t="s">
        <v>17</v>
      </c>
      <c r="H203" s="3"/>
      <c r="I203" t="s">
        <v>33</v>
      </c>
    </row>
    <row r="204" spans="1:9" x14ac:dyDescent="0.25">
      <c r="A204" s="9" t="s">
        <v>34</v>
      </c>
      <c r="B204" t="s">
        <v>35</v>
      </c>
      <c r="C204" t="s">
        <v>36</v>
      </c>
      <c r="D204">
        <v>1.6772116902968379</v>
      </c>
      <c r="E204" t="s">
        <v>5</v>
      </c>
      <c r="F204" s="20" t="s">
        <v>188</v>
      </c>
      <c r="G204" t="s">
        <v>19</v>
      </c>
      <c r="I204" t="s">
        <v>37</v>
      </c>
    </row>
    <row r="205" spans="1:9" x14ac:dyDescent="0.25">
      <c r="A205" t="s">
        <v>196</v>
      </c>
      <c r="B205" t="s">
        <v>197</v>
      </c>
      <c r="C205" t="s">
        <v>54</v>
      </c>
      <c r="D205" s="13">
        <v>2.5320055641349066</v>
      </c>
      <c r="E205" t="s">
        <v>50</v>
      </c>
      <c r="F205" s="20" t="s">
        <v>188</v>
      </c>
      <c r="G205" t="s">
        <v>19</v>
      </c>
      <c r="I205" t="s">
        <v>37</v>
      </c>
    </row>
    <row r="206" spans="1:9" x14ac:dyDescent="0.25">
      <c r="A206" t="s">
        <v>45</v>
      </c>
      <c r="B206" t="s">
        <v>46</v>
      </c>
      <c r="C206" t="s">
        <v>44</v>
      </c>
      <c r="D206" s="10">
        <f>Transportation!B12</f>
        <v>13</v>
      </c>
      <c r="E206" t="s">
        <v>47</v>
      </c>
      <c r="F206" s="20" t="s">
        <v>188</v>
      </c>
      <c r="G206" t="s">
        <v>19</v>
      </c>
      <c r="I206" t="s">
        <v>37</v>
      </c>
    </row>
    <row r="207" spans="1:9" x14ac:dyDescent="0.25">
      <c r="A207" t="s">
        <v>191</v>
      </c>
      <c r="B207" t="s">
        <v>56</v>
      </c>
      <c r="C207" t="s">
        <v>57</v>
      </c>
      <c r="D207">
        <v>7.28915519494213</v>
      </c>
      <c r="E207" t="s">
        <v>5</v>
      </c>
      <c r="F207" s="20" t="s">
        <v>188</v>
      </c>
      <c r="G207" t="s">
        <v>19</v>
      </c>
      <c r="I207" t="s">
        <v>33</v>
      </c>
    </row>
    <row r="208" spans="1:9" x14ac:dyDescent="0.25">
      <c r="A208" t="s">
        <v>63</v>
      </c>
      <c r="C208" t="s">
        <v>54</v>
      </c>
      <c r="D208">
        <v>5.6135340059469772E-4</v>
      </c>
      <c r="F208" s="20" t="s">
        <v>189</v>
      </c>
      <c r="G208" t="s">
        <v>60</v>
      </c>
      <c r="H208" t="s">
        <v>61</v>
      </c>
      <c r="I208" t="s">
        <v>33</v>
      </c>
    </row>
    <row r="209" spans="1:9" x14ac:dyDescent="0.25">
      <c r="A209" t="s">
        <v>65</v>
      </c>
      <c r="C209" t="s">
        <v>54</v>
      </c>
      <c r="D209">
        <v>1.3472481614272745E-5</v>
      </c>
      <c r="F209" s="20" t="s">
        <v>189</v>
      </c>
      <c r="G209" t="s">
        <v>60</v>
      </c>
      <c r="H209" t="s">
        <v>61</v>
      </c>
      <c r="I209" t="s">
        <v>33</v>
      </c>
    </row>
    <row r="210" spans="1:9" x14ac:dyDescent="0.25">
      <c r="A210" t="s">
        <v>67</v>
      </c>
      <c r="C210" t="s">
        <v>54</v>
      </c>
      <c r="D210" s="10">
        <v>2.6570727628149027E-3</v>
      </c>
      <c r="F210" s="20" t="s">
        <v>189</v>
      </c>
      <c r="G210" t="s">
        <v>60</v>
      </c>
      <c r="H210" t="s">
        <v>61</v>
      </c>
      <c r="I210" t="s">
        <v>33</v>
      </c>
    </row>
    <row r="211" spans="1:9" x14ac:dyDescent="0.25">
      <c r="A211" t="s">
        <v>193</v>
      </c>
      <c r="C211" t="s">
        <v>54</v>
      </c>
      <c r="D211" s="11">
        <v>1.0852832411497491E-3</v>
      </c>
      <c r="F211" s="20" t="s">
        <v>189</v>
      </c>
      <c r="G211" t="s">
        <v>60</v>
      </c>
      <c r="H211" t="s">
        <v>61</v>
      </c>
      <c r="I211" t="s">
        <v>33</v>
      </c>
    </row>
    <row r="212" spans="1:9" x14ac:dyDescent="0.25">
      <c r="A212" t="s">
        <v>179</v>
      </c>
      <c r="B212" t="s">
        <v>145</v>
      </c>
      <c r="C212" t="s">
        <v>54</v>
      </c>
      <c r="D212">
        <v>0.29528799999999999</v>
      </c>
      <c r="E212" t="s">
        <v>148</v>
      </c>
      <c r="F212" s="20" t="s">
        <v>188</v>
      </c>
      <c r="G212" t="s">
        <v>68</v>
      </c>
    </row>
    <row r="213" spans="1:9" x14ac:dyDescent="0.25">
      <c r="A213" t="s">
        <v>180</v>
      </c>
      <c r="B213" t="s">
        <v>146</v>
      </c>
      <c r="C213" t="s">
        <v>54</v>
      </c>
      <c r="D213">
        <v>0.168736</v>
      </c>
      <c r="E213" t="s">
        <v>148</v>
      </c>
      <c r="F213" s="20" t="s">
        <v>188</v>
      </c>
      <c r="G213" t="s">
        <v>68</v>
      </c>
    </row>
    <row r="214" spans="1:9" x14ac:dyDescent="0.25">
      <c r="A214" t="s">
        <v>194</v>
      </c>
      <c r="B214" t="s">
        <v>147</v>
      </c>
      <c r="C214" t="s">
        <v>54</v>
      </c>
      <c r="D214">
        <v>0.253104</v>
      </c>
      <c r="E214" t="s">
        <v>148</v>
      </c>
      <c r="F214" s="20" t="s">
        <v>188</v>
      </c>
      <c r="G214" t="s">
        <v>68</v>
      </c>
    </row>
    <row r="215" spans="1:9" x14ac:dyDescent="0.25">
      <c r="D215" s="10"/>
    </row>
    <row r="216" spans="1:9" x14ac:dyDescent="0.25">
      <c r="D216" s="10"/>
    </row>
    <row r="217" spans="1:9" x14ac:dyDescent="0.25">
      <c r="D217" s="11"/>
    </row>
    <row r="218" spans="1:9" x14ac:dyDescent="0.25">
      <c r="B218" s="11"/>
      <c r="D218" s="12"/>
      <c r="F218" s="20"/>
    </row>
    <row r="219" spans="1:9" x14ac:dyDescent="0.25">
      <c r="F219" s="20"/>
    </row>
    <row r="220" spans="1:9" x14ac:dyDescent="0.25">
      <c r="F220" s="20"/>
    </row>
    <row r="222" spans="1:9" x14ac:dyDescent="0.25">
      <c r="A222" s="1" t="s">
        <v>2</v>
      </c>
      <c r="B222" t="s">
        <v>27</v>
      </c>
      <c r="C222" s="2"/>
      <c r="D222" s="2"/>
      <c r="E222" s="2"/>
      <c r="F222" s="2"/>
      <c r="G222" s="2"/>
      <c r="H222" s="2"/>
      <c r="I222" s="2"/>
    </row>
    <row r="223" spans="1:9" x14ac:dyDescent="0.25">
      <c r="A223" s="3" t="s">
        <v>3</v>
      </c>
      <c r="B223" t="s">
        <v>150</v>
      </c>
    </row>
    <row r="224" spans="1:9" x14ac:dyDescent="0.25">
      <c r="A224" s="4" t="s">
        <v>4</v>
      </c>
      <c r="B224" s="5" t="s">
        <v>5</v>
      </c>
      <c r="C224" s="5"/>
      <c r="D224" s="5"/>
      <c r="E224" s="5"/>
      <c r="F224" s="5"/>
      <c r="G224" s="5"/>
      <c r="H224" s="5"/>
      <c r="I224" s="5"/>
    </row>
    <row r="225" spans="1:9" x14ac:dyDescent="0.25">
      <c r="A225" s="4" t="s">
        <v>6</v>
      </c>
      <c r="B225" s="6">
        <v>1</v>
      </c>
      <c r="C225" s="5"/>
      <c r="D225" s="5"/>
      <c r="E225" s="5"/>
      <c r="F225" s="5"/>
      <c r="G225" s="5"/>
      <c r="H225" s="5"/>
      <c r="I225" s="5"/>
    </row>
    <row r="226" spans="1:9" x14ac:dyDescent="0.25">
      <c r="A226" s="4" t="s">
        <v>7</v>
      </c>
      <c r="B226" s="7" t="s">
        <v>8</v>
      </c>
      <c r="C226" s="5"/>
      <c r="D226" s="5"/>
      <c r="E226" s="5"/>
      <c r="F226" s="5"/>
      <c r="G226" s="5"/>
      <c r="H226" s="5"/>
      <c r="I226" s="5"/>
    </row>
    <row r="228" spans="1:9" x14ac:dyDescent="0.25">
      <c r="A228" s="3" t="s">
        <v>9</v>
      </c>
    </row>
    <row r="229" spans="1:9" x14ac:dyDescent="0.25">
      <c r="A229" s="3" t="s">
        <v>10</v>
      </c>
      <c r="B229" s="3" t="s">
        <v>11</v>
      </c>
      <c r="C229" s="3" t="s">
        <v>7</v>
      </c>
      <c r="D229" s="8" t="s">
        <v>12</v>
      </c>
      <c r="E229" s="3" t="s">
        <v>4</v>
      </c>
      <c r="F229" s="3" t="s">
        <v>13</v>
      </c>
      <c r="G229" s="3" t="s">
        <v>14</v>
      </c>
      <c r="H229" s="3" t="s">
        <v>15</v>
      </c>
      <c r="I229" t="s">
        <v>3</v>
      </c>
    </row>
    <row r="230" spans="1:9" x14ac:dyDescent="0.25">
      <c r="A230" t="s">
        <v>27</v>
      </c>
      <c r="B230" t="s">
        <v>16</v>
      </c>
      <c r="C230" t="s">
        <v>8</v>
      </c>
      <c r="D230" s="9">
        <v>1</v>
      </c>
      <c r="E230" t="s">
        <v>5</v>
      </c>
      <c r="F230" t="str">
        <f>$B$1</f>
        <v>OWM Facilities</v>
      </c>
      <c r="G230" t="s">
        <v>17</v>
      </c>
      <c r="H230" s="3"/>
      <c r="I230" t="s">
        <v>33</v>
      </c>
    </row>
    <row r="231" spans="1:9" x14ac:dyDescent="0.25">
      <c r="A231" s="9" t="s">
        <v>34</v>
      </c>
      <c r="B231" t="s">
        <v>35</v>
      </c>
      <c r="C231" t="s">
        <v>36</v>
      </c>
      <c r="D231">
        <v>1.6772116902968379</v>
      </c>
      <c r="E231" t="s">
        <v>5</v>
      </c>
      <c r="F231" s="20" t="s">
        <v>188</v>
      </c>
      <c r="G231" t="s">
        <v>19</v>
      </c>
      <c r="I231" t="s">
        <v>37</v>
      </c>
    </row>
    <row r="232" spans="1:9" x14ac:dyDescent="0.25">
      <c r="A232" t="s">
        <v>196</v>
      </c>
      <c r="B232" t="s">
        <v>197</v>
      </c>
      <c r="C232" t="s">
        <v>54</v>
      </c>
      <c r="D232" s="13">
        <v>2.5320055641349066</v>
      </c>
      <c r="E232" t="s">
        <v>50</v>
      </c>
      <c r="F232" s="20" t="s">
        <v>188</v>
      </c>
      <c r="G232" t="s">
        <v>19</v>
      </c>
      <c r="I232" t="s">
        <v>37</v>
      </c>
    </row>
    <row r="233" spans="1:9" x14ac:dyDescent="0.25">
      <c r="A233" t="s">
        <v>45</v>
      </c>
      <c r="B233" t="s">
        <v>46</v>
      </c>
      <c r="C233" t="s">
        <v>44</v>
      </c>
      <c r="D233" s="10">
        <f>Transportation!B13</f>
        <v>15.6</v>
      </c>
      <c r="E233" t="s">
        <v>47</v>
      </c>
      <c r="F233" s="20" t="s">
        <v>188</v>
      </c>
      <c r="G233" t="s">
        <v>19</v>
      </c>
      <c r="I233" t="s">
        <v>37</v>
      </c>
    </row>
    <row r="234" spans="1:9" x14ac:dyDescent="0.25">
      <c r="A234" t="s">
        <v>191</v>
      </c>
      <c r="B234" t="s">
        <v>56</v>
      </c>
      <c r="C234" t="s">
        <v>57</v>
      </c>
      <c r="D234">
        <v>7.28915519494213</v>
      </c>
      <c r="E234" t="s">
        <v>5</v>
      </c>
      <c r="F234" s="20" t="s">
        <v>188</v>
      </c>
      <c r="G234" t="s">
        <v>19</v>
      </c>
      <c r="I234" t="s">
        <v>33</v>
      </c>
    </row>
    <row r="235" spans="1:9" x14ac:dyDescent="0.25">
      <c r="A235" t="s">
        <v>63</v>
      </c>
      <c r="C235" t="s">
        <v>54</v>
      </c>
      <c r="D235">
        <v>5.6135340059469772E-4</v>
      </c>
      <c r="F235" s="20" t="s">
        <v>189</v>
      </c>
      <c r="G235" t="s">
        <v>60</v>
      </c>
      <c r="H235" t="s">
        <v>61</v>
      </c>
      <c r="I235" t="s">
        <v>33</v>
      </c>
    </row>
    <row r="236" spans="1:9" x14ac:dyDescent="0.25">
      <c r="A236" t="s">
        <v>65</v>
      </c>
      <c r="C236" t="s">
        <v>54</v>
      </c>
      <c r="D236">
        <v>1.3472481614272745E-5</v>
      </c>
      <c r="F236" s="20" t="s">
        <v>189</v>
      </c>
      <c r="G236" t="s">
        <v>60</v>
      </c>
      <c r="H236" t="s">
        <v>61</v>
      </c>
      <c r="I236" t="s">
        <v>33</v>
      </c>
    </row>
    <row r="237" spans="1:9" x14ac:dyDescent="0.25">
      <c r="A237" t="s">
        <v>67</v>
      </c>
      <c r="C237" t="s">
        <v>54</v>
      </c>
      <c r="D237" s="10">
        <v>2.6570727628149027E-3</v>
      </c>
      <c r="F237" s="20" t="s">
        <v>189</v>
      </c>
      <c r="G237" t="s">
        <v>60</v>
      </c>
      <c r="H237" t="s">
        <v>61</v>
      </c>
      <c r="I237" t="s">
        <v>33</v>
      </c>
    </row>
    <row r="238" spans="1:9" x14ac:dyDescent="0.25">
      <c r="A238" t="s">
        <v>193</v>
      </c>
      <c r="C238" t="s">
        <v>54</v>
      </c>
      <c r="D238" s="11">
        <v>1.0852832411497491E-3</v>
      </c>
      <c r="F238" s="20" t="s">
        <v>189</v>
      </c>
      <c r="G238" t="s">
        <v>60</v>
      </c>
      <c r="H238" t="s">
        <v>61</v>
      </c>
      <c r="I238" t="s">
        <v>33</v>
      </c>
    </row>
    <row r="239" spans="1:9" x14ac:dyDescent="0.25">
      <c r="A239" t="s">
        <v>179</v>
      </c>
      <c r="B239" t="s">
        <v>145</v>
      </c>
      <c r="C239" t="s">
        <v>54</v>
      </c>
      <c r="D239">
        <v>0.29528799999999999</v>
      </c>
      <c r="E239" t="s">
        <v>148</v>
      </c>
      <c r="F239" s="20" t="s">
        <v>188</v>
      </c>
      <c r="G239" t="s">
        <v>68</v>
      </c>
    </row>
    <row r="240" spans="1:9" x14ac:dyDescent="0.25">
      <c r="A240" t="s">
        <v>180</v>
      </c>
      <c r="B240" t="s">
        <v>146</v>
      </c>
      <c r="C240" t="s">
        <v>54</v>
      </c>
      <c r="D240">
        <v>0.168736</v>
      </c>
      <c r="E240" t="s">
        <v>148</v>
      </c>
      <c r="F240" s="20" t="s">
        <v>188</v>
      </c>
      <c r="G240" t="s">
        <v>68</v>
      </c>
    </row>
    <row r="241" spans="1:9" x14ac:dyDescent="0.25">
      <c r="A241" t="s">
        <v>194</v>
      </c>
      <c r="B241" t="s">
        <v>147</v>
      </c>
      <c r="C241" t="s">
        <v>54</v>
      </c>
      <c r="D241">
        <v>0.253104</v>
      </c>
      <c r="E241" t="s">
        <v>148</v>
      </c>
      <c r="F241" s="20" t="s">
        <v>188</v>
      </c>
      <c r="G241" t="s">
        <v>68</v>
      </c>
    </row>
    <row r="243" spans="1:9" x14ac:dyDescent="0.25">
      <c r="A243" s="1" t="s">
        <v>2</v>
      </c>
      <c r="B243" t="s">
        <v>28</v>
      </c>
      <c r="C243" s="2"/>
      <c r="D243" s="2"/>
      <c r="E243" s="2"/>
      <c r="F243" s="2"/>
      <c r="G243" s="2"/>
      <c r="H243" s="2"/>
      <c r="I243" s="2"/>
    </row>
    <row r="244" spans="1:9" x14ac:dyDescent="0.25">
      <c r="A244" s="3" t="s">
        <v>3</v>
      </c>
      <c r="B244" t="s">
        <v>150</v>
      </c>
    </row>
    <row r="245" spans="1:9" x14ac:dyDescent="0.25">
      <c r="A245" s="4" t="s">
        <v>4</v>
      </c>
      <c r="B245" s="5" t="s">
        <v>5</v>
      </c>
      <c r="C245" s="5"/>
      <c r="D245" s="5"/>
      <c r="E245" s="5"/>
      <c r="F245" s="5"/>
      <c r="G245" s="5"/>
      <c r="H245" s="5"/>
      <c r="I245" s="5"/>
    </row>
    <row r="246" spans="1:9" x14ac:dyDescent="0.25">
      <c r="A246" s="4" t="s">
        <v>6</v>
      </c>
      <c r="B246" s="6">
        <v>1</v>
      </c>
      <c r="C246" s="5"/>
      <c r="D246" s="5"/>
      <c r="E246" s="5"/>
      <c r="F246" s="5"/>
      <c r="G246" s="5"/>
      <c r="H246" s="5"/>
      <c r="I246" s="5"/>
    </row>
    <row r="247" spans="1:9" x14ac:dyDescent="0.25">
      <c r="A247" s="4" t="s">
        <v>7</v>
      </c>
      <c r="B247" s="7" t="s">
        <v>8</v>
      </c>
      <c r="C247" s="5"/>
      <c r="D247" s="5"/>
      <c r="E247" s="5"/>
      <c r="F247" s="5"/>
      <c r="G247" s="5"/>
      <c r="H247" s="5"/>
      <c r="I247" s="5"/>
    </row>
    <row r="249" spans="1:9" x14ac:dyDescent="0.25">
      <c r="A249" s="3" t="s">
        <v>9</v>
      </c>
    </row>
    <row r="250" spans="1:9" x14ac:dyDescent="0.25">
      <c r="A250" s="3" t="s">
        <v>10</v>
      </c>
      <c r="B250" s="3" t="s">
        <v>11</v>
      </c>
      <c r="C250" s="3" t="s">
        <v>7</v>
      </c>
      <c r="D250" s="8" t="s">
        <v>12</v>
      </c>
      <c r="E250" s="3" t="s">
        <v>4</v>
      </c>
      <c r="F250" s="3" t="s">
        <v>13</v>
      </c>
      <c r="G250" s="3" t="s">
        <v>14</v>
      </c>
      <c r="H250" s="3" t="s">
        <v>15</v>
      </c>
      <c r="I250" t="s">
        <v>3</v>
      </c>
    </row>
    <row r="251" spans="1:9" x14ac:dyDescent="0.25">
      <c r="A251" t="str">
        <f>B243</f>
        <v>Composter_saint thomas</v>
      </c>
      <c r="B251" t="s">
        <v>16</v>
      </c>
      <c r="C251" t="s">
        <v>8</v>
      </c>
      <c r="D251" s="9">
        <v>1</v>
      </c>
      <c r="E251" t="s">
        <v>5</v>
      </c>
      <c r="F251" t="str">
        <f>$B$1</f>
        <v>OWM Facilities</v>
      </c>
      <c r="G251" t="s">
        <v>17</v>
      </c>
      <c r="H251" s="3"/>
      <c r="I251" t="s">
        <v>33</v>
      </c>
    </row>
    <row r="252" spans="1:9" x14ac:dyDescent="0.25">
      <c r="A252" s="9" t="s">
        <v>34</v>
      </c>
      <c r="B252" t="s">
        <v>35</v>
      </c>
      <c r="C252" t="s">
        <v>36</v>
      </c>
      <c r="D252">
        <v>1.6772116902968379</v>
      </c>
      <c r="E252" t="s">
        <v>5</v>
      </c>
      <c r="F252" s="20" t="s">
        <v>188</v>
      </c>
      <c r="G252" t="s">
        <v>19</v>
      </c>
      <c r="I252" t="s">
        <v>37</v>
      </c>
    </row>
    <row r="253" spans="1:9" x14ac:dyDescent="0.25">
      <c r="A253" t="s">
        <v>196</v>
      </c>
      <c r="B253" t="s">
        <v>197</v>
      </c>
      <c r="C253" t="s">
        <v>54</v>
      </c>
      <c r="D253" s="13">
        <v>2.5320055641349066</v>
      </c>
      <c r="E253" t="s">
        <v>50</v>
      </c>
      <c r="F253" s="20" t="s">
        <v>188</v>
      </c>
      <c r="G253" t="s">
        <v>19</v>
      </c>
      <c r="I253" t="s">
        <v>37</v>
      </c>
    </row>
    <row r="254" spans="1:9" x14ac:dyDescent="0.25">
      <c r="A254" t="s">
        <v>45</v>
      </c>
      <c r="B254" t="s">
        <v>46</v>
      </c>
      <c r="C254" t="s">
        <v>44</v>
      </c>
      <c r="D254" s="10">
        <f>Transportation!B14</f>
        <v>59.6</v>
      </c>
      <c r="E254" t="s">
        <v>47</v>
      </c>
      <c r="F254" s="20" t="s">
        <v>188</v>
      </c>
      <c r="G254" t="s">
        <v>19</v>
      </c>
      <c r="I254" t="s">
        <v>37</v>
      </c>
    </row>
    <row r="255" spans="1:9" x14ac:dyDescent="0.25">
      <c r="A255" t="s">
        <v>191</v>
      </c>
      <c r="B255" t="s">
        <v>56</v>
      </c>
      <c r="C255" t="s">
        <v>57</v>
      </c>
      <c r="D255">
        <v>7.28915519494213</v>
      </c>
      <c r="E255" t="s">
        <v>5</v>
      </c>
      <c r="F255" s="20" t="s">
        <v>188</v>
      </c>
      <c r="G255" t="s">
        <v>19</v>
      </c>
      <c r="I255" t="s">
        <v>33</v>
      </c>
    </row>
    <row r="256" spans="1:9" x14ac:dyDescent="0.25">
      <c r="A256" t="s">
        <v>63</v>
      </c>
      <c r="C256" t="s">
        <v>54</v>
      </c>
      <c r="D256">
        <v>5.6135340059469772E-4</v>
      </c>
      <c r="F256" s="20" t="s">
        <v>189</v>
      </c>
      <c r="G256" t="s">
        <v>60</v>
      </c>
      <c r="H256" t="s">
        <v>61</v>
      </c>
      <c r="I256" t="s">
        <v>33</v>
      </c>
    </row>
    <row r="257" spans="1:9" x14ac:dyDescent="0.25">
      <c r="A257" t="s">
        <v>65</v>
      </c>
      <c r="C257" t="s">
        <v>54</v>
      </c>
      <c r="D257">
        <v>1.3472481614272745E-5</v>
      </c>
      <c r="F257" s="20" t="s">
        <v>189</v>
      </c>
      <c r="G257" t="s">
        <v>60</v>
      </c>
      <c r="H257" t="s">
        <v>61</v>
      </c>
      <c r="I257" t="s">
        <v>33</v>
      </c>
    </row>
    <row r="258" spans="1:9" x14ac:dyDescent="0.25">
      <c r="A258" t="s">
        <v>67</v>
      </c>
      <c r="C258" t="s">
        <v>54</v>
      </c>
      <c r="D258" s="10">
        <v>2.6570727628149027E-3</v>
      </c>
      <c r="F258" s="20" t="s">
        <v>189</v>
      </c>
      <c r="G258" t="s">
        <v>60</v>
      </c>
      <c r="H258" t="s">
        <v>61</v>
      </c>
      <c r="I258" t="s">
        <v>33</v>
      </c>
    </row>
    <row r="259" spans="1:9" x14ac:dyDescent="0.25">
      <c r="A259" t="s">
        <v>193</v>
      </c>
      <c r="C259" t="s">
        <v>54</v>
      </c>
      <c r="D259" s="11">
        <v>1.0852832411497491E-3</v>
      </c>
      <c r="F259" s="20" t="s">
        <v>189</v>
      </c>
      <c r="G259" t="s">
        <v>60</v>
      </c>
      <c r="H259" t="s">
        <v>61</v>
      </c>
      <c r="I259" t="s">
        <v>33</v>
      </c>
    </row>
    <row r="260" spans="1:9" x14ac:dyDescent="0.25">
      <c r="A260" t="s">
        <v>179</v>
      </c>
      <c r="B260" t="s">
        <v>145</v>
      </c>
      <c r="C260" t="s">
        <v>54</v>
      </c>
      <c r="D260">
        <v>0.29528799999999999</v>
      </c>
      <c r="E260" t="s">
        <v>148</v>
      </c>
      <c r="F260" s="20" t="s">
        <v>188</v>
      </c>
      <c r="G260" t="s">
        <v>68</v>
      </c>
    </row>
    <row r="261" spans="1:9" x14ac:dyDescent="0.25">
      <c r="A261" t="s">
        <v>180</v>
      </c>
      <c r="B261" t="s">
        <v>146</v>
      </c>
      <c r="C261" t="s">
        <v>54</v>
      </c>
      <c r="D261">
        <v>0.168736</v>
      </c>
      <c r="E261" t="s">
        <v>148</v>
      </c>
      <c r="F261" s="20" t="s">
        <v>188</v>
      </c>
      <c r="G261" t="s">
        <v>68</v>
      </c>
    </row>
    <row r="262" spans="1:9" x14ac:dyDescent="0.25">
      <c r="A262" t="s">
        <v>194</v>
      </c>
      <c r="B262" t="s">
        <v>147</v>
      </c>
      <c r="C262" t="s">
        <v>54</v>
      </c>
      <c r="D262">
        <v>0.253104</v>
      </c>
      <c r="E262" t="s">
        <v>148</v>
      </c>
      <c r="F262" s="20" t="s">
        <v>188</v>
      </c>
      <c r="G262" t="s">
        <v>68</v>
      </c>
    </row>
    <row r="263" spans="1:9" x14ac:dyDescent="0.25">
      <c r="D263" s="10"/>
    </row>
    <row r="264" spans="1:9" x14ac:dyDescent="0.25">
      <c r="D264" s="10"/>
    </row>
    <row r="265" spans="1:9" x14ac:dyDescent="0.25">
      <c r="D265" s="11"/>
    </row>
    <row r="268" spans="1:9" x14ac:dyDescent="0.25">
      <c r="A268" s="1" t="s">
        <v>2</v>
      </c>
      <c r="B268" s="2" t="s">
        <v>162</v>
      </c>
      <c r="C268" s="2"/>
      <c r="D268" s="2"/>
      <c r="E268" s="2"/>
      <c r="F268" s="2"/>
      <c r="G268" s="2"/>
      <c r="H268" s="2"/>
      <c r="I268" s="2"/>
    </row>
    <row r="269" spans="1:9" x14ac:dyDescent="0.25">
      <c r="A269" s="3" t="s">
        <v>3</v>
      </c>
      <c r="B269" t="s">
        <v>106</v>
      </c>
    </row>
    <row r="270" spans="1:9" x14ac:dyDescent="0.25">
      <c r="A270" s="4" t="s">
        <v>4</v>
      </c>
      <c r="B270" s="5" t="s">
        <v>5</v>
      </c>
      <c r="C270" s="5"/>
      <c r="D270" s="5"/>
      <c r="E270" s="5"/>
      <c r="F270" s="5"/>
      <c r="G270" s="5"/>
      <c r="H270" s="5"/>
      <c r="I270" s="5"/>
    </row>
    <row r="271" spans="1:9" x14ac:dyDescent="0.25">
      <c r="A271" s="4" t="s">
        <v>6</v>
      </c>
      <c r="B271" s="6">
        <v>1</v>
      </c>
      <c r="C271" s="5"/>
      <c r="D271" s="5"/>
      <c r="E271" s="5"/>
      <c r="F271" s="5"/>
      <c r="G271" s="5"/>
      <c r="H271" s="5"/>
      <c r="I271" s="5"/>
    </row>
    <row r="272" spans="1:9" x14ac:dyDescent="0.25">
      <c r="A272" s="4" t="s">
        <v>7</v>
      </c>
      <c r="B272" s="7" t="s">
        <v>8</v>
      </c>
      <c r="C272" s="5"/>
      <c r="D272" s="5"/>
      <c r="E272" s="5"/>
      <c r="F272" s="5"/>
      <c r="G272" s="5"/>
      <c r="H272" s="5"/>
      <c r="I272" s="5"/>
    </row>
    <row r="274" spans="1:9" x14ac:dyDescent="0.25">
      <c r="A274" s="3" t="s">
        <v>9</v>
      </c>
    </row>
    <row r="275" spans="1:9" x14ac:dyDescent="0.25">
      <c r="A275" s="3" t="s">
        <v>10</v>
      </c>
      <c r="B275" s="3" t="s">
        <v>11</v>
      </c>
      <c r="C275" s="3" t="s">
        <v>7</v>
      </c>
      <c r="D275" s="8" t="s">
        <v>12</v>
      </c>
      <c r="E275" s="3" t="s">
        <v>4</v>
      </c>
      <c r="F275" s="3" t="s">
        <v>13</v>
      </c>
      <c r="G275" s="3" t="s">
        <v>14</v>
      </c>
      <c r="H275" s="3" t="s">
        <v>15</v>
      </c>
      <c r="I275" t="s">
        <v>3</v>
      </c>
    </row>
    <row r="276" spans="1:9" x14ac:dyDescent="0.25">
      <c r="A276" t="str">
        <f>B268</f>
        <v>lewerenz_Open Composter</v>
      </c>
      <c r="B276" t="s">
        <v>16</v>
      </c>
      <c r="C276" t="s">
        <v>8</v>
      </c>
      <c r="D276" s="9">
        <v>1</v>
      </c>
      <c r="E276" t="str">
        <f>B270</f>
        <v>CA-QC</v>
      </c>
      <c r="F276" t="str">
        <f>$B$1</f>
        <v>OWM Facilities</v>
      </c>
      <c r="G276" t="s">
        <v>17</v>
      </c>
      <c r="H276" s="3"/>
      <c r="I276" t="s">
        <v>33</v>
      </c>
    </row>
    <row r="277" spans="1:9" x14ac:dyDescent="0.25">
      <c r="A277" s="9" t="s">
        <v>34</v>
      </c>
      <c r="B277" t="s">
        <v>35</v>
      </c>
      <c r="C277" t="s">
        <v>36</v>
      </c>
      <c r="D277" s="10">
        <f>0.0045*1000</f>
        <v>4.5</v>
      </c>
      <c r="E277" t="s">
        <v>32</v>
      </c>
      <c r="F277" s="20" t="s">
        <v>188</v>
      </c>
      <c r="G277" t="s">
        <v>19</v>
      </c>
      <c r="I277" t="s">
        <v>37</v>
      </c>
    </row>
    <row r="278" spans="1:9" x14ac:dyDescent="0.25">
      <c r="A278" t="s">
        <v>38</v>
      </c>
      <c r="B278" t="s">
        <v>39</v>
      </c>
      <c r="C278" t="s">
        <v>40</v>
      </c>
      <c r="D278" s="10">
        <f>0.000213066494623584*1000</f>
        <v>0.21306649462358399</v>
      </c>
      <c r="E278" t="s">
        <v>41</v>
      </c>
      <c r="F278" s="20" t="s">
        <v>188</v>
      </c>
      <c r="G278" t="s">
        <v>19</v>
      </c>
      <c r="I278" t="s">
        <v>37</v>
      </c>
    </row>
    <row r="279" spans="1:9" x14ac:dyDescent="0.25">
      <c r="A279" t="s">
        <v>42</v>
      </c>
      <c r="B279" t="s">
        <v>43</v>
      </c>
      <c r="C279" t="s">
        <v>44</v>
      </c>
      <c r="D279" s="10">
        <f>0.015*1000</f>
        <v>15</v>
      </c>
      <c r="E279" t="s">
        <v>41</v>
      </c>
      <c r="F279" s="20" t="s">
        <v>188</v>
      </c>
      <c r="G279" t="s">
        <v>19</v>
      </c>
      <c r="I279" t="s">
        <v>37</v>
      </c>
    </row>
    <row r="280" spans="1:9" x14ac:dyDescent="0.25">
      <c r="A280" t="s">
        <v>45</v>
      </c>
      <c r="B280" t="s">
        <v>46</v>
      </c>
      <c r="C280" t="s">
        <v>44</v>
      </c>
      <c r="D280" s="10">
        <f>0.017*1000</f>
        <v>17</v>
      </c>
      <c r="E280" t="s">
        <v>47</v>
      </c>
      <c r="F280" s="20" t="s">
        <v>188</v>
      </c>
      <c r="G280" t="s">
        <v>19</v>
      </c>
      <c r="I280" t="s">
        <v>37</v>
      </c>
    </row>
    <row r="281" spans="1:9" x14ac:dyDescent="0.25">
      <c r="A281" t="s">
        <v>48</v>
      </c>
      <c r="B281" t="s">
        <v>49</v>
      </c>
      <c r="C281" t="s">
        <v>7</v>
      </c>
      <c r="D281" s="10">
        <f>0.0000000040014*1000</f>
        <v>4.0013999999999995E-6</v>
      </c>
      <c r="E281" t="s">
        <v>50</v>
      </c>
      <c r="F281" s="20" t="s">
        <v>188</v>
      </c>
      <c r="G281" t="s">
        <v>19</v>
      </c>
      <c r="I281" t="s">
        <v>51</v>
      </c>
    </row>
    <row r="282" spans="1:9" x14ac:dyDescent="0.25">
      <c r="A282" t="s">
        <v>52</v>
      </c>
      <c r="B282" t="s">
        <v>53</v>
      </c>
      <c r="C282" t="s">
        <v>54</v>
      </c>
      <c r="D282" s="10">
        <f>0.0000185*1000</f>
        <v>1.8499999999999999E-2</v>
      </c>
      <c r="E282" t="s">
        <v>32</v>
      </c>
      <c r="F282" s="20" t="s">
        <v>188</v>
      </c>
      <c r="G282" t="s">
        <v>19</v>
      </c>
      <c r="I282" t="s">
        <v>33</v>
      </c>
    </row>
    <row r="283" spans="1:9" x14ac:dyDescent="0.25">
      <c r="A283" t="s">
        <v>55</v>
      </c>
      <c r="B283" t="s">
        <v>56</v>
      </c>
      <c r="C283" t="s">
        <v>57</v>
      </c>
      <c r="D283" s="10">
        <f>0.000225*1000</f>
        <v>0.22500000000000001</v>
      </c>
      <c r="E283" t="s">
        <v>58</v>
      </c>
      <c r="F283" s="20" t="s">
        <v>188</v>
      </c>
      <c r="G283" t="s">
        <v>19</v>
      </c>
      <c r="I283" t="s">
        <v>33</v>
      </c>
    </row>
    <row r="284" spans="1:9" x14ac:dyDescent="0.25">
      <c r="A284" t="s">
        <v>59</v>
      </c>
      <c r="C284" t="s">
        <v>57</v>
      </c>
      <c r="D284" s="10">
        <f>0.000125*1000</f>
        <v>0.125</v>
      </c>
      <c r="F284" s="20" t="s">
        <v>189</v>
      </c>
      <c r="G284" t="s">
        <v>60</v>
      </c>
      <c r="H284" t="s">
        <v>59</v>
      </c>
      <c r="I284" t="s">
        <v>62</v>
      </c>
    </row>
    <row r="285" spans="1:9" x14ac:dyDescent="0.25">
      <c r="A285" t="s">
        <v>63</v>
      </c>
      <c r="C285" t="s">
        <v>54</v>
      </c>
      <c r="D285" s="11">
        <f>1000*0.0007116</f>
        <v>0.7115999999999999</v>
      </c>
      <c r="F285" s="20" t="s">
        <v>189</v>
      </c>
      <c r="G285" t="s">
        <v>60</v>
      </c>
      <c r="H285" t="s">
        <v>61</v>
      </c>
      <c r="I285" t="s">
        <v>33</v>
      </c>
    </row>
    <row r="286" spans="1:9" x14ac:dyDescent="0.25">
      <c r="A286" t="s">
        <v>64</v>
      </c>
      <c r="C286" t="s">
        <v>54</v>
      </c>
      <c r="D286" s="10">
        <f>1000*0.09793</f>
        <v>97.93</v>
      </c>
      <c r="F286" s="20" t="s">
        <v>189</v>
      </c>
      <c r="G286" t="s">
        <v>60</v>
      </c>
      <c r="H286" t="s">
        <v>61</v>
      </c>
      <c r="I286" t="s">
        <v>33</v>
      </c>
    </row>
    <row r="287" spans="1:9" x14ac:dyDescent="0.25">
      <c r="A287" t="s">
        <v>65</v>
      </c>
      <c r="C287" t="s">
        <v>54</v>
      </c>
      <c r="D287" s="10">
        <f>1000*0.00015225</f>
        <v>0.15225</v>
      </c>
      <c r="F287" s="20" t="s">
        <v>189</v>
      </c>
      <c r="G287" t="s">
        <v>60</v>
      </c>
      <c r="H287" t="s">
        <v>61</v>
      </c>
      <c r="I287" t="s">
        <v>33</v>
      </c>
    </row>
    <row r="293" spans="1:9" x14ac:dyDescent="0.25">
      <c r="D293" s="10"/>
    </row>
    <row r="296" spans="1:9" x14ac:dyDescent="0.25">
      <c r="A296" s="1" t="s">
        <v>2</v>
      </c>
      <c r="B296" s="2" t="s">
        <v>175</v>
      </c>
      <c r="C296" s="2"/>
      <c r="D296" s="2"/>
      <c r="E296" s="2"/>
      <c r="F296" s="2"/>
      <c r="G296" s="2"/>
      <c r="H296" s="2"/>
      <c r="I296" s="2"/>
    </row>
    <row r="297" spans="1:9" ht="15.75" x14ac:dyDescent="0.25">
      <c r="A297" s="3" t="s">
        <v>3</v>
      </c>
      <c r="B297" s="22" t="s">
        <v>177</v>
      </c>
    </row>
    <row r="298" spans="1:9" x14ac:dyDescent="0.25">
      <c r="A298" s="4" t="s">
        <v>4</v>
      </c>
      <c r="B298" s="5" t="s">
        <v>176</v>
      </c>
      <c r="C298" s="5"/>
      <c r="D298" s="5"/>
      <c r="E298" s="5"/>
      <c r="F298" s="5"/>
      <c r="G298" s="5"/>
      <c r="H298" s="5"/>
      <c r="I298" s="5"/>
    </row>
    <row r="299" spans="1:9" x14ac:dyDescent="0.25">
      <c r="A299" s="4" t="s">
        <v>6</v>
      </c>
      <c r="B299" s="6">
        <v>1</v>
      </c>
      <c r="C299" s="5"/>
      <c r="D299" s="5"/>
      <c r="E299" s="5"/>
      <c r="F299" s="5"/>
      <c r="G299" s="5"/>
      <c r="H299" s="5"/>
      <c r="I299" s="5"/>
    </row>
    <row r="300" spans="1:9" x14ac:dyDescent="0.25">
      <c r="A300" s="4" t="s">
        <v>7</v>
      </c>
      <c r="B300" s="7" t="s">
        <v>8</v>
      </c>
      <c r="C300" s="5"/>
      <c r="D300" s="5"/>
      <c r="E300" s="5"/>
      <c r="F300" s="5"/>
      <c r="G300" s="5"/>
      <c r="H300" s="5"/>
      <c r="I300" s="5"/>
    </row>
    <row r="302" spans="1:9" x14ac:dyDescent="0.25">
      <c r="A302" s="3" t="s">
        <v>9</v>
      </c>
    </row>
    <row r="303" spans="1:9" x14ac:dyDescent="0.25">
      <c r="A303" s="3" t="s">
        <v>10</v>
      </c>
      <c r="B303" s="3" t="s">
        <v>11</v>
      </c>
      <c r="C303" s="3" t="s">
        <v>7</v>
      </c>
      <c r="D303" s="8" t="s">
        <v>12</v>
      </c>
      <c r="E303" s="3" t="s">
        <v>4</v>
      </c>
      <c r="F303" s="3" t="s">
        <v>13</v>
      </c>
      <c r="G303" s="3" t="s">
        <v>14</v>
      </c>
      <c r="H303" s="3" t="s">
        <v>15</v>
      </c>
      <c r="I303" t="s">
        <v>3</v>
      </c>
    </row>
    <row r="304" spans="1:9" x14ac:dyDescent="0.25">
      <c r="A304" t="str">
        <f>B296</f>
        <v>NS_compost</v>
      </c>
      <c r="B304" t="s">
        <v>16</v>
      </c>
      <c r="C304" t="s">
        <v>8</v>
      </c>
      <c r="D304">
        <v>1</v>
      </c>
      <c r="E304" t="str">
        <f>B298</f>
        <v>CA-NS</v>
      </c>
      <c r="F304" t="str">
        <f>B1</f>
        <v>OWM Facilities</v>
      </c>
      <c r="G304" t="s">
        <v>17</v>
      </c>
      <c r="I304" t="s">
        <v>33</v>
      </c>
    </row>
    <row r="305" spans="1:9" x14ac:dyDescent="0.25">
      <c r="A305" t="s">
        <v>34</v>
      </c>
      <c r="B305" t="s">
        <v>35</v>
      </c>
      <c r="C305" t="s">
        <v>36</v>
      </c>
      <c r="D305">
        <v>27.42983199561294</v>
      </c>
      <c r="E305" t="str">
        <f>E304</f>
        <v>CA-NS</v>
      </c>
      <c r="F305" s="20" t="s">
        <v>188</v>
      </c>
      <c r="G305" t="s">
        <v>19</v>
      </c>
      <c r="I305" t="s">
        <v>37</v>
      </c>
    </row>
    <row r="306" spans="1:9" x14ac:dyDescent="0.25">
      <c r="A306" t="s">
        <v>196</v>
      </c>
      <c r="B306" t="s">
        <v>197</v>
      </c>
      <c r="C306" t="s">
        <v>54</v>
      </c>
      <c r="D306">
        <v>3.34</v>
      </c>
      <c r="E306" t="s">
        <v>50</v>
      </c>
      <c r="F306" s="20" t="s">
        <v>188</v>
      </c>
      <c r="G306" t="s">
        <v>19</v>
      </c>
      <c r="I306" t="s">
        <v>37</v>
      </c>
    </row>
    <row r="307" spans="1:9" x14ac:dyDescent="0.25">
      <c r="A307" t="s">
        <v>65</v>
      </c>
      <c r="C307" t="s">
        <v>54</v>
      </c>
      <c r="D307">
        <v>8.9947155890124133</v>
      </c>
      <c r="F307" s="20" t="s">
        <v>189</v>
      </c>
      <c r="G307" t="s">
        <v>60</v>
      </c>
      <c r="H307" t="s">
        <v>61</v>
      </c>
      <c r="I307" t="s">
        <v>33</v>
      </c>
    </row>
    <row r="308" spans="1:9" x14ac:dyDescent="0.25">
      <c r="A308" t="s">
        <v>67</v>
      </c>
      <c r="C308" t="s">
        <v>54</v>
      </c>
      <c r="D308">
        <v>5.6084551000000003E-2</v>
      </c>
      <c r="F308" s="20" t="s">
        <v>189</v>
      </c>
      <c r="G308" t="s">
        <v>60</v>
      </c>
      <c r="H308" t="s">
        <v>61</v>
      </c>
      <c r="I308" t="s">
        <v>33</v>
      </c>
    </row>
    <row r="309" spans="1:9" x14ac:dyDescent="0.25">
      <c r="A309" t="s">
        <v>52</v>
      </c>
      <c r="B309" t="s">
        <v>53</v>
      </c>
      <c r="C309" t="s">
        <v>54</v>
      </c>
      <c r="D309">
        <v>9.1355501271249806E-2</v>
      </c>
      <c r="E309" s="14" t="s">
        <v>5</v>
      </c>
      <c r="F309" s="20" t="s">
        <v>188</v>
      </c>
      <c r="G309" t="s">
        <v>19</v>
      </c>
      <c r="I309" t="s">
        <v>33</v>
      </c>
    </row>
    <row r="310" spans="1:9" x14ac:dyDescent="0.25">
      <c r="A310" t="s">
        <v>64</v>
      </c>
      <c r="C310" t="s">
        <v>54</v>
      </c>
      <c r="D310" s="10">
        <v>34.182910409999998</v>
      </c>
      <c r="F310" s="20" t="s">
        <v>189</v>
      </c>
      <c r="G310" t="s">
        <v>60</v>
      </c>
      <c r="H310" t="s">
        <v>61</v>
      </c>
      <c r="I310" t="s">
        <v>33</v>
      </c>
    </row>
    <row r="311" spans="1:9" x14ac:dyDescent="0.25">
      <c r="A311" t="s">
        <v>179</v>
      </c>
      <c r="B311" t="s">
        <v>145</v>
      </c>
      <c r="C311" t="s">
        <v>54</v>
      </c>
      <c r="D311">
        <v>1.7807999999999999</v>
      </c>
      <c r="E311" t="s">
        <v>148</v>
      </c>
      <c r="F311" s="20" t="s">
        <v>188</v>
      </c>
      <c r="G311" t="s">
        <v>68</v>
      </c>
    </row>
    <row r="312" spans="1:9" x14ac:dyDescent="0.25">
      <c r="A312" t="s">
        <v>180</v>
      </c>
      <c r="B312" t="s">
        <v>146</v>
      </c>
      <c r="C312" t="s">
        <v>54</v>
      </c>
      <c r="D312">
        <v>1.0176000000000001</v>
      </c>
      <c r="E312" t="s">
        <v>148</v>
      </c>
      <c r="F312" s="20" t="s">
        <v>188</v>
      </c>
      <c r="G312" t="s">
        <v>68</v>
      </c>
    </row>
    <row r="313" spans="1:9" x14ac:dyDescent="0.25">
      <c r="A313" t="s">
        <v>194</v>
      </c>
      <c r="B313" t="s">
        <v>147</v>
      </c>
      <c r="C313" t="s">
        <v>54</v>
      </c>
      <c r="D313">
        <v>1.5264</v>
      </c>
      <c r="E313" t="s">
        <v>148</v>
      </c>
      <c r="F313" s="20" t="s">
        <v>188</v>
      </c>
      <c r="G313" t="s">
        <v>68</v>
      </c>
    </row>
    <row r="315" spans="1:9" x14ac:dyDescent="0.25">
      <c r="A315" s="1" t="s">
        <v>2</v>
      </c>
      <c r="B315" s="2" t="s">
        <v>174</v>
      </c>
      <c r="C315" s="2"/>
      <c r="D315" s="2"/>
      <c r="E315" s="2"/>
      <c r="F315" s="2"/>
      <c r="G315" s="2"/>
      <c r="H315" s="2"/>
      <c r="I315" s="2"/>
    </row>
    <row r="316" spans="1:9" ht="20.25" thickBot="1" x14ac:dyDescent="0.35">
      <c r="A316" s="3" t="s">
        <v>3</v>
      </c>
      <c r="B316" s="24" t="s">
        <v>195</v>
      </c>
    </row>
    <row r="317" spans="1:9" ht="15.75" thickTop="1" x14ac:dyDescent="0.25">
      <c r="A317" s="4" t="s">
        <v>4</v>
      </c>
      <c r="B317" s="5" t="s">
        <v>176</v>
      </c>
      <c r="C317" s="5"/>
      <c r="D317" s="5"/>
      <c r="E317" s="5"/>
      <c r="F317" s="5"/>
      <c r="G317" s="5"/>
      <c r="H317" s="5"/>
      <c r="I317" s="5"/>
    </row>
    <row r="318" spans="1:9" x14ac:dyDescent="0.25">
      <c r="A318" s="4" t="s">
        <v>6</v>
      </c>
      <c r="B318" s="6">
        <v>1</v>
      </c>
      <c r="C318" s="5"/>
      <c r="D318" s="5"/>
      <c r="E318" s="5"/>
      <c r="F318" s="5"/>
      <c r="G318" s="5"/>
      <c r="H318" s="5"/>
      <c r="I318" s="5"/>
    </row>
    <row r="319" spans="1:9" x14ac:dyDescent="0.25">
      <c r="A319" s="4" t="s">
        <v>7</v>
      </c>
      <c r="B319" s="7" t="s">
        <v>8</v>
      </c>
      <c r="C319" s="5"/>
      <c r="D319" s="5"/>
      <c r="E319" s="5"/>
      <c r="F319" s="5"/>
      <c r="G319" s="5"/>
      <c r="H319" s="5"/>
      <c r="I319" s="5"/>
    </row>
    <row r="321" spans="1:9" x14ac:dyDescent="0.25">
      <c r="A321" s="3" t="s">
        <v>9</v>
      </c>
    </row>
    <row r="322" spans="1:9" x14ac:dyDescent="0.25">
      <c r="A322" s="3" t="s">
        <v>10</v>
      </c>
      <c r="B322" s="3" t="s">
        <v>11</v>
      </c>
      <c r="C322" s="3" t="s">
        <v>7</v>
      </c>
      <c r="D322" s="8" t="s">
        <v>12</v>
      </c>
      <c r="E322" s="3" t="s">
        <v>4</v>
      </c>
      <c r="F322" s="3" t="s">
        <v>13</v>
      </c>
      <c r="G322" s="3" t="s">
        <v>14</v>
      </c>
      <c r="H322" s="3" t="s">
        <v>15</v>
      </c>
      <c r="I322" t="s">
        <v>3</v>
      </c>
    </row>
    <row r="323" spans="1:9" x14ac:dyDescent="0.25">
      <c r="A323" t="str">
        <f>B315</f>
        <v>NS_AD</v>
      </c>
      <c r="B323" t="s">
        <v>16</v>
      </c>
      <c r="C323" t="s">
        <v>8</v>
      </c>
      <c r="D323">
        <v>1</v>
      </c>
      <c r="E323" t="str">
        <f>B317</f>
        <v>CA-NS</v>
      </c>
      <c r="F323" t="s">
        <v>1</v>
      </c>
      <c r="G323" t="s">
        <v>17</v>
      </c>
      <c r="I323" t="s">
        <v>33</v>
      </c>
    </row>
    <row r="324" spans="1:9" x14ac:dyDescent="0.25">
      <c r="A324" t="s">
        <v>34</v>
      </c>
      <c r="B324" t="s">
        <v>35</v>
      </c>
      <c r="C324" t="s">
        <v>36</v>
      </c>
      <c r="D324" s="10">
        <v>19.624800000000015</v>
      </c>
      <c r="E324" t="str">
        <f>[1]Sheet1!E11</f>
        <v>CA-QC</v>
      </c>
      <c r="F324" s="20" t="s">
        <v>188</v>
      </c>
      <c r="G324" t="s">
        <v>19</v>
      </c>
      <c r="I324" t="s">
        <v>37</v>
      </c>
    </row>
    <row r="325" spans="1:9" x14ac:dyDescent="0.25">
      <c r="A325" s="9" t="s">
        <v>34</v>
      </c>
      <c r="B325" t="s">
        <v>35</v>
      </c>
      <c r="C325" t="s">
        <v>36</v>
      </c>
      <c r="D325">
        <v>2.5000000000000001E-2</v>
      </c>
      <c r="E325" t="s">
        <v>5</v>
      </c>
      <c r="F325" s="20" t="s">
        <v>188</v>
      </c>
      <c r="G325" t="s">
        <v>68</v>
      </c>
      <c r="I325" t="s">
        <v>33</v>
      </c>
    </row>
    <row r="326" spans="1:9" x14ac:dyDescent="0.25">
      <c r="A326" t="s">
        <v>64</v>
      </c>
      <c r="C326" t="s">
        <v>54</v>
      </c>
      <c r="D326" s="23">
        <v>3.9980000000000002</v>
      </c>
      <c r="F326" s="20" t="s">
        <v>189</v>
      </c>
      <c r="G326" t="s">
        <v>60</v>
      </c>
      <c r="H326" t="s">
        <v>61</v>
      </c>
      <c r="I326" t="s">
        <v>33</v>
      </c>
    </row>
    <row r="327" spans="1:9" x14ac:dyDescent="0.25">
      <c r="A327" t="s">
        <v>65</v>
      </c>
      <c r="C327" t="s">
        <v>54</v>
      </c>
      <c r="D327" s="11">
        <v>2.75E-2</v>
      </c>
      <c r="F327" s="20" t="s">
        <v>189</v>
      </c>
      <c r="G327" t="s">
        <v>60</v>
      </c>
      <c r="H327" t="s">
        <v>61</v>
      </c>
      <c r="I327" t="s">
        <v>33</v>
      </c>
    </row>
    <row r="328" spans="1:9" x14ac:dyDescent="0.25">
      <c r="A328" t="s">
        <v>67</v>
      </c>
      <c r="C328" t="s">
        <v>54</v>
      </c>
      <c r="D328" s="11">
        <v>13.210197464999998</v>
      </c>
      <c r="F328" s="20" t="s">
        <v>189</v>
      </c>
      <c r="G328" t="s">
        <v>60</v>
      </c>
      <c r="H328" t="s">
        <v>61</v>
      </c>
      <c r="I328" t="s">
        <v>33</v>
      </c>
    </row>
    <row r="329" spans="1:9" x14ac:dyDescent="0.25">
      <c r="A329" t="s">
        <v>80</v>
      </c>
      <c r="B329" t="s">
        <v>81</v>
      </c>
      <c r="C329" t="s">
        <v>54</v>
      </c>
      <c r="D329">
        <v>0</v>
      </c>
      <c r="E329" t="s">
        <v>41</v>
      </c>
      <c r="F329" s="20" t="s">
        <v>188</v>
      </c>
      <c r="G329" t="s">
        <v>68</v>
      </c>
      <c r="I329" t="s">
        <v>178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975D-BBB2-433E-B5BE-1795401400D6}">
  <dimension ref="A1:F28"/>
  <sheetViews>
    <sheetView workbookViewId="0">
      <selection activeCell="D16" sqref="D16"/>
    </sheetView>
  </sheetViews>
  <sheetFormatPr defaultRowHeight="15" x14ac:dyDescent="0.25"/>
  <cols>
    <col min="1" max="1" width="45.5703125" customWidth="1"/>
    <col min="2" max="2" width="18.28515625" customWidth="1"/>
    <col min="3" max="3" width="12" customWidth="1"/>
    <col min="4" max="4" width="18.85546875" customWidth="1"/>
    <col min="5" max="5" width="13" customWidth="1"/>
  </cols>
  <sheetData>
    <row r="1" spans="1:6" x14ac:dyDescent="0.25">
      <c r="A1" s="2" t="s">
        <v>209</v>
      </c>
      <c r="C1" s="25" t="s">
        <v>206</v>
      </c>
      <c r="D1" s="25"/>
      <c r="E1" s="25"/>
      <c r="F1" s="25"/>
    </row>
    <row r="2" spans="1:6" x14ac:dyDescent="0.25">
      <c r="A2" t="s">
        <v>207</v>
      </c>
      <c r="C2" s="2" t="s">
        <v>203</v>
      </c>
      <c r="D2" s="2" t="s">
        <v>204</v>
      </c>
      <c r="E2" s="2" t="s">
        <v>205</v>
      </c>
      <c r="F2" s="2" t="s">
        <v>208</v>
      </c>
    </row>
    <row r="3" spans="1:6" x14ac:dyDescent="0.25">
      <c r="A3" t="s">
        <v>35</v>
      </c>
    </row>
    <row r="4" spans="1:6" x14ac:dyDescent="0.25">
      <c r="A4" t="s">
        <v>197</v>
      </c>
    </row>
    <row r="5" spans="1:6" x14ac:dyDescent="0.25">
      <c r="A5" t="s">
        <v>202</v>
      </c>
    </row>
    <row r="6" spans="1:6" x14ac:dyDescent="0.25">
      <c r="A6" t="s">
        <v>53</v>
      </c>
    </row>
    <row r="7" spans="1:6" x14ac:dyDescent="0.25">
      <c r="A7" t="s">
        <v>145</v>
      </c>
    </row>
    <row r="8" spans="1:6" x14ac:dyDescent="0.25">
      <c r="A8" t="s">
        <v>146</v>
      </c>
    </row>
    <row r="9" spans="1:6" x14ac:dyDescent="0.25">
      <c r="A9" t="s">
        <v>147</v>
      </c>
    </row>
    <row r="10" spans="1:6" x14ac:dyDescent="0.25">
      <c r="A10" t="s">
        <v>64</v>
      </c>
      <c r="C10">
        <v>0</v>
      </c>
      <c r="D10">
        <v>34.182910414277877</v>
      </c>
      <c r="E10">
        <v>97.9</v>
      </c>
    </row>
    <row r="11" spans="1:6" x14ac:dyDescent="0.25">
      <c r="A11" t="s">
        <v>65</v>
      </c>
      <c r="C11" s="10">
        <v>1.3472481614272745E-5</v>
      </c>
      <c r="D11">
        <v>8.9947155890124133</v>
      </c>
      <c r="E11" s="26">
        <f>1000*0.00015225</f>
        <v>0.15225</v>
      </c>
    </row>
    <row r="12" spans="1:6" x14ac:dyDescent="0.25">
      <c r="A12" t="s">
        <v>67</v>
      </c>
      <c r="C12">
        <v>2.6570727628149027E-3</v>
      </c>
      <c r="D12">
        <v>5.6084550575801383E-2</v>
      </c>
      <c r="E12">
        <v>3.24</v>
      </c>
    </row>
    <row r="13" spans="1:6" x14ac:dyDescent="0.25">
      <c r="A13" t="s">
        <v>63</v>
      </c>
    </row>
    <row r="14" spans="1:6" x14ac:dyDescent="0.25">
      <c r="A14" t="s">
        <v>193</v>
      </c>
    </row>
    <row r="15" spans="1:6" x14ac:dyDescent="0.25">
      <c r="A15" t="s">
        <v>66</v>
      </c>
    </row>
    <row r="19" spans="1:6" x14ac:dyDescent="0.25">
      <c r="A19" s="2" t="s">
        <v>210</v>
      </c>
      <c r="C19" s="2" t="s">
        <v>203</v>
      </c>
      <c r="D19" s="2" t="s">
        <v>217</v>
      </c>
      <c r="E19" s="2" t="s">
        <v>216</v>
      </c>
      <c r="F19" s="2" t="s">
        <v>218</v>
      </c>
    </row>
    <row r="20" spans="1:6" x14ac:dyDescent="0.25">
      <c r="A20" t="s">
        <v>46</v>
      </c>
    </row>
    <row r="21" spans="1:6" x14ac:dyDescent="0.25">
      <c r="A21" t="s">
        <v>219</v>
      </c>
      <c r="C21" s="2">
        <v>0.68883085661884558</v>
      </c>
      <c r="D21" t="s">
        <v>215</v>
      </c>
    </row>
    <row r="22" spans="1:6" x14ac:dyDescent="0.25">
      <c r="A22" t="s">
        <v>135</v>
      </c>
      <c r="C22" s="27"/>
      <c r="D22" s="2">
        <f>0.0807443330566553*0.90718474*1000</f>
        <v>73.250026790475246</v>
      </c>
      <c r="E22" s="28">
        <v>73.250026790475331</v>
      </c>
    </row>
    <row r="23" spans="1:6" x14ac:dyDescent="0.25">
      <c r="A23" t="s">
        <v>183</v>
      </c>
      <c r="C23" s="27"/>
      <c r="D23">
        <f>0.0181205140326961*0.90718474*1000</f>
        <v>16.438653811417765</v>
      </c>
      <c r="E23" s="28">
        <v>16.43865381141773</v>
      </c>
      <c r="F23" s="2">
        <v>2.33552297919117</v>
      </c>
    </row>
    <row r="24" spans="1:6" x14ac:dyDescent="0.25">
      <c r="A24" t="s">
        <v>213</v>
      </c>
      <c r="D24" s="2">
        <f>83.8075532188652*0.90718474</f>
        <v>76.028933376892383</v>
      </c>
    </row>
    <row r="25" spans="1:6" x14ac:dyDescent="0.25">
      <c r="A25" t="s">
        <v>185</v>
      </c>
      <c r="C25" s="2">
        <v>109.57129105566415</v>
      </c>
    </row>
    <row r="26" spans="1:6" x14ac:dyDescent="0.25">
      <c r="A26" t="s">
        <v>211</v>
      </c>
      <c r="C26" s="5">
        <v>22.112566837710503</v>
      </c>
      <c r="F26" s="2">
        <v>21.671376530106802</v>
      </c>
    </row>
    <row r="27" spans="1:6" x14ac:dyDescent="0.25">
      <c r="A27" t="s">
        <v>212</v>
      </c>
      <c r="C27">
        <v>5.3950634769950809E-3</v>
      </c>
      <c r="F27" s="2">
        <v>5.1972444828385896E-3</v>
      </c>
    </row>
    <row r="28" spans="1:6" x14ac:dyDescent="0.25">
      <c r="A28" t="s">
        <v>214</v>
      </c>
      <c r="C28" s="2">
        <v>36.273732772249062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B28-F383-4E17-A2A8-C3C4D97F8AC9}">
  <dimension ref="A1:G16"/>
  <sheetViews>
    <sheetView workbookViewId="0">
      <selection activeCell="F22" sqref="F22"/>
    </sheetView>
  </sheetViews>
  <sheetFormatPr defaultRowHeight="15" x14ac:dyDescent="0.25"/>
  <cols>
    <col min="1" max="1" width="25" customWidth="1"/>
  </cols>
  <sheetData>
    <row r="1" spans="1:7" x14ac:dyDescent="0.25">
      <c r="A1" s="15" t="s">
        <v>84</v>
      </c>
      <c r="C1" t="s">
        <v>85</v>
      </c>
      <c r="D1" t="s">
        <v>86</v>
      </c>
    </row>
    <row r="2" spans="1:7" x14ac:dyDescent="0.25">
      <c r="A2" t="s">
        <v>87</v>
      </c>
    </row>
    <row r="3" spans="1:7" x14ac:dyDescent="0.25">
      <c r="A3" s="15" t="s">
        <v>88</v>
      </c>
      <c r="B3" s="15" t="s">
        <v>89</v>
      </c>
      <c r="C3" s="15" t="s">
        <v>90</v>
      </c>
      <c r="D3" s="15" t="s">
        <v>91</v>
      </c>
      <c r="E3" s="15" t="s">
        <v>92</v>
      </c>
      <c r="F3" s="15"/>
      <c r="G3" s="15"/>
    </row>
    <row r="4" spans="1:7" x14ac:dyDescent="0.25">
      <c r="A4" t="s">
        <v>18</v>
      </c>
      <c r="B4">
        <v>50.7</v>
      </c>
      <c r="C4" t="s">
        <v>93</v>
      </c>
      <c r="D4" t="s">
        <v>94</v>
      </c>
    </row>
    <row r="5" spans="1:7" x14ac:dyDescent="0.25">
      <c r="A5" t="s">
        <v>20</v>
      </c>
      <c r="B5">
        <v>15.6</v>
      </c>
      <c r="C5" t="s">
        <v>93</v>
      </c>
      <c r="D5" t="s">
        <v>95</v>
      </c>
    </row>
    <row r="6" spans="1:7" x14ac:dyDescent="0.25">
      <c r="A6" t="s">
        <v>21</v>
      </c>
      <c r="B6">
        <v>59.6</v>
      </c>
      <c r="C6" t="s">
        <v>93</v>
      </c>
      <c r="D6" t="s">
        <v>96</v>
      </c>
    </row>
    <row r="7" spans="1:7" x14ac:dyDescent="0.25">
      <c r="A7" t="s">
        <v>22</v>
      </c>
      <c r="B7">
        <v>77.400000000000006</v>
      </c>
      <c r="C7" t="s">
        <v>93</v>
      </c>
      <c r="D7" t="s">
        <v>97</v>
      </c>
    </row>
    <row r="9" spans="1:7" x14ac:dyDescent="0.25">
      <c r="A9" t="s">
        <v>23</v>
      </c>
      <c r="B9">
        <v>120</v>
      </c>
      <c r="C9" t="s">
        <v>93</v>
      </c>
      <c r="D9" t="s">
        <v>98</v>
      </c>
    </row>
    <row r="10" spans="1:7" x14ac:dyDescent="0.25">
      <c r="A10" t="s">
        <v>24</v>
      </c>
      <c r="B10">
        <v>86</v>
      </c>
      <c r="C10" t="s">
        <v>93</v>
      </c>
      <c r="D10" t="s">
        <v>99</v>
      </c>
    </row>
    <row r="11" spans="1:7" x14ac:dyDescent="0.25">
      <c r="A11" t="s">
        <v>25</v>
      </c>
      <c r="B11">
        <v>170</v>
      </c>
      <c r="C11" t="s">
        <v>93</v>
      </c>
      <c r="D11" s="14" t="s">
        <v>100</v>
      </c>
      <c r="E11" s="14" t="s">
        <v>101</v>
      </c>
    </row>
    <row r="12" spans="1:7" x14ac:dyDescent="0.25">
      <c r="A12" t="s">
        <v>26</v>
      </c>
      <c r="B12">
        <v>13</v>
      </c>
      <c r="C12" t="s">
        <v>93</v>
      </c>
      <c r="D12" t="s">
        <v>102</v>
      </c>
    </row>
    <row r="13" spans="1:7" x14ac:dyDescent="0.25">
      <c r="A13" t="s">
        <v>27</v>
      </c>
      <c r="B13">
        <v>15.6</v>
      </c>
      <c r="C13" t="s">
        <v>93</v>
      </c>
      <c r="D13" t="str">
        <f>D5</f>
        <v>3779, chemin des 40 Arpents, Lachenaie, QC J6V 9T6</v>
      </c>
    </row>
    <row r="14" spans="1:7" x14ac:dyDescent="0.25">
      <c r="A14" t="s">
        <v>28</v>
      </c>
      <c r="B14">
        <f>B6</f>
        <v>59.6</v>
      </c>
      <c r="C14" t="s">
        <v>93</v>
      </c>
      <c r="D14" t="str">
        <f>D6</f>
        <v>1001, Chemin St-Joseph, Saint-Thomas, QC J0K 3L0</v>
      </c>
      <c r="E14" s="14" t="s">
        <v>101</v>
      </c>
    </row>
    <row r="15" spans="1:7" x14ac:dyDescent="0.25">
      <c r="A15" t="s">
        <v>29</v>
      </c>
      <c r="B15">
        <v>28.4</v>
      </c>
      <c r="C15" t="s">
        <v>93</v>
      </c>
      <c r="D15" t="s">
        <v>103</v>
      </c>
      <c r="E15" t="s">
        <v>104</v>
      </c>
    </row>
    <row r="16" spans="1:7" x14ac:dyDescent="0.25">
      <c r="A16" t="s">
        <v>30</v>
      </c>
      <c r="B16">
        <v>0</v>
      </c>
      <c r="C16" t="s">
        <v>93</v>
      </c>
      <c r="D16" s="14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8782-21FA-4298-8CD2-04BF34B30789}">
  <dimension ref="A1:F20"/>
  <sheetViews>
    <sheetView workbookViewId="0">
      <selection activeCell="D27" sqref="D27"/>
    </sheetView>
  </sheetViews>
  <sheetFormatPr defaultRowHeight="15" x14ac:dyDescent="0.25"/>
  <sheetData>
    <row r="1" spans="1:6" x14ac:dyDescent="0.25">
      <c r="A1" s="3" t="s">
        <v>107</v>
      </c>
    </row>
    <row r="2" spans="1:6" ht="15.75" thickBot="1" x14ac:dyDescent="0.3">
      <c r="A2" s="16" t="s">
        <v>108</v>
      </c>
      <c r="B2" s="16" t="s">
        <v>109</v>
      </c>
      <c r="C2" s="16" t="s">
        <v>110</v>
      </c>
      <c r="D2" s="17" t="s">
        <v>111</v>
      </c>
      <c r="E2" s="16" t="s">
        <v>112</v>
      </c>
      <c r="F2" s="18" t="s">
        <v>110</v>
      </c>
    </row>
    <row r="3" spans="1:6" x14ac:dyDescent="0.25">
      <c r="A3" s="3" t="s">
        <v>113</v>
      </c>
      <c r="B3" t="s">
        <v>114</v>
      </c>
      <c r="C3" t="s">
        <v>83</v>
      </c>
      <c r="D3">
        <f>D4*D5*(1-D6)*(D7*(1-D8)/D9)</f>
        <v>87.325775070989351</v>
      </c>
    </row>
    <row r="4" spans="1:6" x14ac:dyDescent="0.25">
      <c r="A4" t="s">
        <v>115</v>
      </c>
      <c r="B4" t="s">
        <v>116</v>
      </c>
      <c r="D4" s="10">
        <v>3676.0683760683701</v>
      </c>
    </row>
    <row r="5" spans="1:6" x14ac:dyDescent="0.25">
      <c r="A5" t="s">
        <v>117</v>
      </c>
      <c r="D5">
        <v>0.49222092828706998</v>
      </c>
      <c r="E5" t="s">
        <v>118</v>
      </c>
    </row>
    <row r="6" spans="1:6" x14ac:dyDescent="0.25">
      <c r="A6" t="s">
        <v>119</v>
      </c>
      <c r="D6">
        <v>0.03</v>
      </c>
      <c r="E6" s="19">
        <v>0.01</v>
      </c>
    </row>
    <row r="7" spans="1:6" x14ac:dyDescent="0.25">
      <c r="A7" t="s">
        <v>120</v>
      </c>
      <c r="B7" t="s">
        <v>121</v>
      </c>
      <c r="D7">
        <v>0.15403929282883699</v>
      </c>
    </row>
    <row r="8" spans="1:6" x14ac:dyDescent="0.25">
      <c r="A8" t="s">
        <v>122</v>
      </c>
      <c r="D8">
        <v>0.64395916871050696</v>
      </c>
    </row>
    <row r="9" spans="1:6" x14ac:dyDescent="0.25">
      <c r="A9" t="s">
        <v>123</v>
      </c>
      <c r="D9">
        <v>1.1023113109243901</v>
      </c>
      <c r="E9" t="s">
        <v>124</v>
      </c>
    </row>
    <row r="10" spans="1:6" x14ac:dyDescent="0.25">
      <c r="A10" t="s">
        <v>125</v>
      </c>
      <c r="D10">
        <v>1012</v>
      </c>
      <c r="E10" t="s">
        <v>126</v>
      </c>
    </row>
    <row r="11" spans="1:6" x14ac:dyDescent="0.25">
      <c r="A11" t="s">
        <v>127</v>
      </c>
      <c r="D11">
        <v>0.85</v>
      </c>
      <c r="E11" t="s">
        <v>128</v>
      </c>
    </row>
    <row r="12" spans="1:6" x14ac:dyDescent="0.25">
      <c r="A12" t="s">
        <v>129</v>
      </c>
      <c r="D12">
        <v>20</v>
      </c>
      <c r="E12" t="s">
        <v>130</v>
      </c>
    </row>
    <row r="13" spans="1:6" x14ac:dyDescent="0.25">
      <c r="A13" t="s">
        <v>131</v>
      </c>
      <c r="D13" s="10">
        <v>8.5470085470085402E-5</v>
      </c>
      <c r="E13" t="s">
        <v>132</v>
      </c>
    </row>
    <row r="14" spans="1:6" x14ac:dyDescent="0.25">
      <c r="A14" t="s">
        <v>133</v>
      </c>
      <c r="D14">
        <v>25</v>
      </c>
      <c r="E14" t="s">
        <v>134</v>
      </c>
    </row>
    <row r="15" spans="1:6" x14ac:dyDescent="0.25">
      <c r="A15" s="3" t="s">
        <v>135</v>
      </c>
      <c r="B15" t="s">
        <v>136</v>
      </c>
      <c r="D15">
        <f>D16 *(1-D8)/D9</f>
        <v>8.0744333056655251E-2</v>
      </c>
      <c r="E15" t="s">
        <v>137</v>
      </c>
    </row>
    <row r="16" spans="1:6" x14ac:dyDescent="0.25">
      <c r="A16" t="s">
        <v>138</v>
      </c>
      <c r="B16" t="s">
        <v>139</v>
      </c>
      <c r="D16">
        <v>0.249986472897059</v>
      </c>
    </row>
    <row r="17" spans="1:5" x14ac:dyDescent="0.25">
      <c r="A17" t="s">
        <v>140</v>
      </c>
      <c r="D17">
        <v>3.6666666666666701</v>
      </c>
      <c r="E17" t="s">
        <v>141</v>
      </c>
    </row>
    <row r="19" spans="1:5" x14ac:dyDescent="0.25">
      <c r="A19" s="3" t="s">
        <v>142</v>
      </c>
      <c r="B19" t="s">
        <v>143</v>
      </c>
      <c r="D19">
        <f>D20*D7*(1-D8)/D9</f>
        <v>1.8120514032696062E-2</v>
      </c>
      <c r="E19" t="s">
        <v>137</v>
      </c>
    </row>
    <row r="20" spans="1:5" x14ac:dyDescent="0.25">
      <c r="A20" t="s">
        <v>144</v>
      </c>
      <c r="D20">
        <v>0.36420294611850601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2DF4-6D0E-4BC8-8AFC-0764B2A32407}">
  <dimension ref="A2:O23"/>
  <sheetViews>
    <sheetView workbookViewId="0">
      <selection activeCell="H10" sqref="H10"/>
    </sheetView>
  </sheetViews>
  <sheetFormatPr defaultRowHeight="15" x14ac:dyDescent="0.25"/>
  <cols>
    <col min="1" max="1" width="19.5703125" customWidth="1"/>
    <col min="7" max="7" width="47.28515625" customWidth="1"/>
    <col min="8" max="8" width="46.85546875" customWidth="1"/>
  </cols>
  <sheetData>
    <row r="2" spans="1:15" x14ac:dyDescent="0.25">
      <c r="A2">
        <v>1</v>
      </c>
      <c r="B2" t="s">
        <v>158</v>
      </c>
      <c r="G2" t="s">
        <v>145</v>
      </c>
      <c r="H2" t="s">
        <v>179</v>
      </c>
      <c r="I2" t="s">
        <v>54</v>
      </c>
      <c r="J2">
        <f>'Fertilizer credit for compost'!A14</f>
        <v>0.29528799999999999</v>
      </c>
      <c r="K2" t="s">
        <v>148</v>
      </c>
      <c r="L2" t="s">
        <v>153</v>
      </c>
      <c r="M2" t="s">
        <v>68</v>
      </c>
      <c r="O2" t="s">
        <v>33</v>
      </c>
    </row>
    <row r="3" spans="1:15" x14ac:dyDescent="0.25">
      <c r="A3">
        <v>2.5</v>
      </c>
      <c r="B3" t="s">
        <v>159</v>
      </c>
      <c r="G3" t="s">
        <v>146</v>
      </c>
      <c r="H3" t="s">
        <v>180</v>
      </c>
      <c r="I3" t="s">
        <v>54</v>
      </c>
      <c r="J3">
        <f>'Fertilizer credit for compost'!A12</f>
        <v>0.168736</v>
      </c>
      <c r="K3" t="s">
        <v>148</v>
      </c>
      <c r="L3" t="s">
        <v>153</v>
      </c>
      <c r="M3" t="s">
        <v>68</v>
      </c>
      <c r="O3" t="s">
        <v>33</v>
      </c>
    </row>
    <row r="4" spans="1:15" x14ac:dyDescent="0.25">
      <c r="A4">
        <v>4</v>
      </c>
      <c r="B4" t="s">
        <v>155</v>
      </c>
      <c r="G4" t="s">
        <v>147</v>
      </c>
      <c r="H4" t="s">
        <v>181</v>
      </c>
      <c r="I4" t="s">
        <v>54</v>
      </c>
      <c r="J4">
        <f>'Fertilizer credit for compost'!A13</f>
        <v>0.253104</v>
      </c>
      <c r="K4" t="s">
        <v>148</v>
      </c>
      <c r="L4" t="s">
        <v>153</v>
      </c>
      <c r="M4" t="s">
        <v>68</v>
      </c>
      <c r="O4" t="s">
        <v>33</v>
      </c>
    </row>
    <row r="5" spans="1:15" x14ac:dyDescent="0.25">
      <c r="A5">
        <v>6</v>
      </c>
      <c r="B5" t="s">
        <v>156</v>
      </c>
    </row>
    <row r="6" spans="1:15" x14ac:dyDescent="0.25">
      <c r="A6">
        <v>7</v>
      </c>
      <c r="B6" t="s">
        <v>157</v>
      </c>
    </row>
    <row r="8" spans="1:15" x14ac:dyDescent="0.25">
      <c r="A8" t="s">
        <v>152</v>
      </c>
      <c r="B8" t="s">
        <v>154</v>
      </c>
    </row>
    <row r="9" spans="1:15" x14ac:dyDescent="0.25">
      <c r="A9" s="3" t="s">
        <v>151</v>
      </c>
    </row>
    <row r="10" spans="1:15" x14ac:dyDescent="0.25">
      <c r="A10">
        <v>1</v>
      </c>
      <c r="B10" t="s">
        <v>160</v>
      </c>
    </row>
    <row r="11" spans="1:15" x14ac:dyDescent="0.25">
      <c r="A11">
        <v>0.10546</v>
      </c>
      <c r="B11" t="s">
        <v>159</v>
      </c>
    </row>
    <row r="12" spans="1:15" x14ac:dyDescent="0.25">
      <c r="A12">
        <f>$A$11/$A$3*A4</f>
        <v>0.168736</v>
      </c>
      <c r="B12" t="s">
        <v>155</v>
      </c>
    </row>
    <row r="13" spans="1:15" x14ac:dyDescent="0.25">
      <c r="A13">
        <f>$A$11/$A$3*A5</f>
        <v>0.253104</v>
      </c>
      <c r="B13" t="s">
        <v>156</v>
      </c>
    </row>
    <row r="14" spans="1:15" x14ac:dyDescent="0.25">
      <c r="A14">
        <f t="shared" ref="A14" si="0">$A$11/$A$3*A6</f>
        <v>0.29528799999999999</v>
      </c>
      <c r="B14" t="s">
        <v>157</v>
      </c>
    </row>
    <row r="18" spans="1:15" x14ac:dyDescent="0.25">
      <c r="A18" s="3" t="s">
        <v>161</v>
      </c>
    </row>
    <row r="19" spans="1:15" x14ac:dyDescent="0.25">
      <c r="A19">
        <v>1</v>
      </c>
      <c r="B19" t="s">
        <v>160</v>
      </c>
      <c r="G19" t="s">
        <v>145</v>
      </c>
      <c r="H19" t="s">
        <v>179</v>
      </c>
      <c r="I19" t="s">
        <v>54</v>
      </c>
      <c r="J19">
        <v>1.7808000000000002</v>
      </c>
      <c r="K19" t="s">
        <v>148</v>
      </c>
      <c r="L19" t="s">
        <v>153</v>
      </c>
      <c r="M19" t="s">
        <v>68</v>
      </c>
      <c r="O19" t="s">
        <v>33</v>
      </c>
    </row>
    <row r="20" spans="1:15" x14ac:dyDescent="0.25">
      <c r="A20">
        <v>0.63600000000000001</v>
      </c>
      <c r="B20" t="s">
        <v>159</v>
      </c>
      <c r="G20" t="s">
        <v>146</v>
      </c>
      <c r="H20" t="s">
        <v>180</v>
      </c>
      <c r="I20" t="s">
        <v>54</v>
      </c>
      <c r="J20">
        <v>1.0176000000000001</v>
      </c>
      <c r="K20" t="s">
        <v>148</v>
      </c>
      <c r="L20" t="s">
        <v>153</v>
      </c>
      <c r="M20" t="s">
        <v>68</v>
      </c>
      <c r="O20" t="s">
        <v>33</v>
      </c>
    </row>
    <row r="21" spans="1:15" x14ac:dyDescent="0.25">
      <c r="A21">
        <f>$A$20/$A$3*A4</f>
        <v>1.0176000000000001</v>
      </c>
      <c r="B21" t="s">
        <v>155</v>
      </c>
      <c r="G21" t="s">
        <v>147</v>
      </c>
      <c r="H21" t="s">
        <v>181</v>
      </c>
      <c r="I21" t="s">
        <v>54</v>
      </c>
      <c r="J21">
        <v>1.5264000000000002</v>
      </c>
      <c r="K21" t="s">
        <v>148</v>
      </c>
      <c r="L21" t="s">
        <v>153</v>
      </c>
      <c r="M21" t="s">
        <v>68</v>
      </c>
      <c r="O21" t="s">
        <v>33</v>
      </c>
    </row>
    <row r="22" spans="1:15" x14ac:dyDescent="0.25">
      <c r="A22">
        <f>$A$20/$A$3*A5</f>
        <v>1.5264000000000002</v>
      </c>
      <c r="B22" t="s">
        <v>156</v>
      </c>
    </row>
    <row r="23" spans="1:15" x14ac:dyDescent="0.25">
      <c r="A23">
        <f>$A$20/$A$3*A6</f>
        <v>1.7808000000000002</v>
      </c>
      <c r="B23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9483-8BE5-4223-B419-E3DE6D98BB0C}">
  <dimension ref="A3:D13"/>
  <sheetViews>
    <sheetView workbookViewId="0">
      <selection activeCell="C7" sqref="C7"/>
    </sheetView>
  </sheetViews>
  <sheetFormatPr defaultRowHeight="15" x14ac:dyDescent="0.25"/>
  <cols>
    <col min="1" max="1" width="19" customWidth="1"/>
    <col min="2" max="2" width="13.42578125" customWidth="1"/>
  </cols>
  <sheetData>
    <row r="3" spans="1:4" x14ac:dyDescent="0.25">
      <c r="B3" t="s">
        <v>163</v>
      </c>
      <c r="C3" t="s">
        <v>90</v>
      </c>
      <c r="D3" t="s">
        <v>152</v>
      </c>
    </row>
    <row r="4" spans="1:4" x14ac:dyDescent="0.25">
      <c r="A4" t="s">
        <v>164</v>
      </c>
      <c r="B4">
        <v>18.63</v>
      </c>
      <c r="C4" t="s">
        <v>165</v>
      </c>
    </row>
    <row r="5" spans="1:4" x14ac:dyDescent="0.25">
      <c r="A5" t="s">
        <v>166</v>
      </c>
      <c r="B5">
        <v>38.32</v>
      </c>
      <c r="C5" t="s">
        <v>165</v>
      </c>
    </row>
    <row r="6" spans="1:4" x14ac:dyDescent="0.25">
      <c r="A6" t="s">
        <v>167</v>
      </c>
      <c r="B6">
        <f>B4/B5</f>
        <v>0.48616910229645088</v>
      </c>
      <c r="C6" t="s">
        <v>168</v>
      </c>
    </row>
    <row r="7" spans="1:4" ht="30" x14ac:dyDescent="0.25">
      <c r="A7" s="21" t="s">
        <v>169</v>
      </c>
      <c r="B7">
        <v>2579984</v>
      </c>
      <c r="C7" t="s">
        <v>149</v>
      </c>
      <c r="D7" t="s">
        <v>172</v>
      </c>
    </row>
    <row r="8" spans="1:4" x14ac:dyDescent="0.25">
      <c r="A8" t="s">
        <v>170</v>
      </c>
      <c r="B8">
        <v>60000</v>
      </c>
      <c r="C8" t="s">
        <v>171</v>
      </c>
      <c r="D8" t="s">
        <v>187</v>
      </c>
    </row>
    <row r="9" spans="1:4" ht="30" x14ac:dyDescent="0.25">
      <c r="A9" s="21" t="s">
        <v>198</v>
      </c>
      <c r="B9">
        <v>225.37691214455452</v>
      </c>
      <c r="C9" t="s">
        <v>199</v>
      </c>
    </row>
    <row r="12" spans="1:4" x14ac:dyDescent="0.25">
      <c r="A12" t="s">
        <v>200</v>
      </c>
      <c r="B12">
        <f>B7*B6/B8</f>
        <v>20.905141753653442</v>
      </c>
      <c r="C12" t="s">
        <v>173</v>
      </c>
    </row>
    <row r="13" spans="1:4" x14ac:dyDescent="0.25">
      <c r="A13" t="s">
        <v>201</v>
      </c>
      <c r="B13">
        <f>B9*B6</f>
        <v>109.57129105566415</v>
      </c>
      <c r="C13" t="s">
        <v>173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LCI</vt:lpstr>
      <vt:lpstr>Comparing windrow models</vt:lpstr>
      <vt:lpstr>Transportation</vt:lpstr>
      <vt:lpstr>Landfill Equations (WARM)</vt:lpstr>
      <vt:lpstr>Fertilizer credit for compost</vt:lpstr>
      <vt:lpstr>Natural gas 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2025-06-19T20:07:14Z</dcterms:modified>
</cp:coreProperties>
</file>