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1" fillId="0" borderId="0" pivotButton="0" quotePrefix="0" xfId="1"/>
    <xf numFmtId="0" fontId="1" fillId="0" borderId="0" pivotButton="0" quotePrefix="0" xfId="0"/>
    <xf numFmtId="1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" fontId="2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tabSelected="1" topLeftCell="A55" workbookViewId="0">
      <selection activeCell="K70" sqref="K70"/>
    </sheetView>
  </sheetViews>
  <sheetFormatPr baseColWidth="10" defaultColWidth="8.83203125" defaultRowHeight="15"/>
  <cols>
    <col width="36.1640625" customWidth="1" min="1" max="1"/>
  </cols>
  <sheetData>
    <row r="1">
      <c r="A1" s="1" t="inlineStr">
        <is>
          <t>Database</t>
        </is>
      </c>
      <c r="B1" s="2" t="inlineStr">
        <is>
          <t>Scenarios</t>
        </is>
      </c>
    </row>
    <row r="2"/>
    <row r="3">
      <c r="A3" s="1" t="inlineStr">
        <is>
          <t>Activity</t>
        </is>
      </c>
      <c r="B3" s="2" t="inlineStr">
        <is>
          <t>S1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comment</t>
        </is>
      </c>
      <c r="B4" t="inlineStr">
        <is>
          <t>Business as usual, 2022 report</t>
        </is>
      </c>
    </row>
    <row r="5">
      <c r="A5" s="4" t="inlineStr">
        <is>
          <t>location</t>
        </is>
      </c>
      <c r="B5" s="5" t="inlineStr">
        <is>
          <t>CA-QC</t>
        </is>
      </c>
      <c r="C5" s="5" t="n"/>
      <c r="D5" s="5" t="n"/>
      <c r="E5" s="5" t="n"/>
      <c r="F5" s="5" t="n"/>
      <c r="G5" s="5" t="n"/>
      <c r="H5" s="5" t="n"/>
      <c r="I5" s="5" t="n"/>
    </row>
    <row r="6">
      <c r="A6" s="4" t="inlineStr">
        <is>
          <t>production amount</t>
        </is>
      </c>
      <c r="B6" s="6" t="n">
        <v>1</v>
      </c>
      <c r="C6" s="5" t="n"/>
      <c r="D6" s="5" t="n"/>
      <c r="E6" s="5" t="n"/>
      <c r="F6" s="5" t="n"/>
      <c r="G6" s="5" t="n"/>
      <c r="H6" s="5" t="n"/>
      <c r="I6" s="5" t="n"/>
    </row>
    <row r="7">
      <c r="A7" s="4" t="inlineStr">
        <is>
          <t>unit</t>
        </is>
      </c>
      <c r="B7" s="7" t="inlineStr">
        <is>
          <t>tonne</t>
        </is>
      </c>
      <c r="C7" s="5" t="n"/>
      <c r="D7" s="5" t="n"/>
      <c r="E7" s="5" t="n"/>
      <c r="F7" s="5" t="n"/>
      <c r="G7" s="5" t="n"/>
      <c r="H7" s="5" t="n"/>
      <c r="I7" s="5" t="n"/>
    </row>
    <row r="8"/>
    <row r="9">
      <c r="A9" s="3" t="inlineStr">
        <is>
          <t>Exchanges</t>
        </is>
      </c>
    </row>
    <row r="10">
      <c r="A10" s="3" t="inlineStr">
        <is>
          <t>name</t>
        </is>
      </c>
      <c r="B10" s="3" t="inlineStr">
        <is>
          <t>reference product</t>
        </is>
      </c>
      <c r="C10" s="3" t="inlineStr">
        <is>
          <t>unit</t>
        </is>
      </c>
      <c r="D10" s="8" t="inlineStr">
        <is>
          <t>amount</t>
        </is>
      </c>
      <c r="E10" s="3" t="inlineStr">
        <is>
          <t>location</t>
        </is>
      </c>
      <c r="F10" s="3" t="inlineStr">
        <is>
          <t>database</t>
        </is>
      </c>
      <c r="G10" s="3" t="inlineStr">
        <is>
          <t>type</t>
        </is>
      </c>
      <c r="H10" s="3" t="inlineStr">
        <is>
          <t>categories</t>
        </is>
      </c>
      <c r="I10" t="inlineStr">
        <is>
          <t>comment</t>
        </is>
      </c>
    </row>
    <row r="11">
      <c r="A11" t="inlineStr">
        <is>
          <t>S1</t>
        </is>
      </c>
      <c r="B11" t="inlineStr">
        <is>
          <t>OFMSW</t>
        </is>
      </c>
      <c r="C11" s="7" t="inlineStr">
        <is>
          <t>tonne</t>
        </is>
      </c>
      <c r="D11" t="n">
        <v>1</v>
      </c>
      <c r="E11" t="inlineStr">
        <is>
          <t>CA-QC</t>
        </is>
      </c>
      <c r="F11">
        <f>$B$1</f>
        <v/>
      </c>
      <c r="G11" t="inlineStr">
        <is>
          <t>production</t>
        </is>
      </c>
      <c r="H11" s="3" t="n"/>
    </row>
    <row r="12">
      <c r="A12" t="inlineStr">
        <is>
          <t>Landfill_saint sophie</t>
        </is>
      </c>
      <c r="B12" t="inlineStr">
        <is>
          <t>OFMSW</t>
        </is>
      </c>
      <c r="C12" s="7" t="inlineStr">
        <is>
          <t>tonne</t>
        </is>
      </c>
      <c r="D12" s="9" t="n">
        <v>0.1240623307730343</v>
      </c>
      <c r="E12" t="inlineStr">
        <is>
          <t>CA-QC</t>
        </is>
      </c>
      <c r="F12" t="inlineStr">
        <is>
          <t>OWM Facilities</t>
        </is>
      </c>
      <c r="G12" t="inlineStr">
        <is>
          <t>technosphere</t>
        </is>
      </c>
      <c r="H12" s="3" t="n"/>
    </row>
    <row r="13">
      <c r="A13" t="inlineStr">
        <is>
          <t>Landfill_terrebonne</t>
        </is>
      </c>
      <c r="B13" t="inlineStr">
        <is>
          <t>OFMSW</t>
        </is>
      </c>
      <c r="C13" s="7" t="inlineStr">
        <is>
          <t>tonne</t>
        </is>
      </c>
      <c r="D13" s="9" t="n">
        <v>0.2089470834072156</v>
      </c>
      <c r="E13" t="inlineStr">
        <is>
          <t>CA-QC</t>
        </is>
      </c>
      <c r="F13" t="inlineStr">
        <is>
          <t>OWM Facilities</t>
        </is>
      </c>
      <c r="G13" t="inlineStr">
        <is>
          <t>technosphere</t>
        </is>
      </c>
      <c r="H13" s="3" t="n"/>
    </row>
    <row r="14">
      <c r="A14" t="inlineStr">
        <is>
          <t>Landfill_saint_thomas</t>
        </is>
      </c>
      <c r="B14" t="inlineStr">
        <is>
          <t>OFMSW</t>
        </is>
      </c>
      <c r="C14" s="7" t="inlineStr">
        <is>
          <t>tonne</t>
        </is>
      </c>
      <c r="D14" s="9" t="n">
        <v>0.2481246615460685</v>
      </c>
      <c r="E14" t="inlineStr">
        <is>
          <t>CA-QC</t>
        </is>
      </c>
      <c r="F14" t="inlineStr">
        <is>
          <t>OWM Facilities</t>
        </is>
      </c>
      <c r="G14" t="inlineStr">
        <is>
          <t>technosphere</t>
        </is>
      </c>
      <c r="H14" s="3" t="n"/>
    </row>
    <row r="15">
      <c r="A15" t="inlineStr">
        <is>
          <t>Landfill_lachute</t>
        </is>
      </c>
      <c r="B15" t="inlineStr">
        <is>
          <t>OFMSW</t>
        </is>
      </c>
      <c r="C15" s="7" t="inlineStr">
        <is>
          <t>tonne</t>
        </is>
      </c>
      <c r="D15" s="9" t="n">
        <v>0.02611838542590195</v>
      </c>
      <c r="E15" t="inlineStr">
        <is>
          <t>CA-QC</t>
        </is>
      </c>
      <c r="F15" t="inlineStr">
        <is>
          <t>OWM Facilities</t>
        </is>
      </c>
      <c r="G15" t="inlineStr">
        <is>
          <t>technosphere</t>
        </is>
      </c>
      <c r="H15" s="3" t="n"/>
    </row>
    <row r="16">
      <c r="A16" t="inlineStr">
        <is>
          <t>Landfill_st-nicephore</t>
        </is>
      </c>
      <c r="B16" t="inlineStr">
        <is>
          <t>OFMSW</t>
        </is>
      </c>
      <c r="C16" s="7" t="inlineStr">
        <is>
          <t>tonne</t>
        </is>
      </c>
      <c r="D16" s="9" t="n">
        <v>0.01958878906942646</v>
      </c>
      <c r="E16" t="inlineStr">
        <is>
          <t>CA-QC</t>
        </is>
      </c>
      <c r="F16" t="inlineStr">
        <is>
          <t>OWM Facilities</t>
        </is>
      </c>
      <c r="G16" t="inlineStr">
        <is>
          <t>technosphere</t>
        </is>
      </c>
      <c r="H16" s="3" t="n"/>
    </row>
    <row r="17">
      <c r="A17" t="inlineStr">
        <is>
          <t>Landfill_cecile_de_milton</t>
        </is>
      </c>
      <c r="B17" t="inlineStr">
        <is>
          <t>OFMSW</t>
        </is>
      </c>
      <c r="C17" s="7" t="inlineStr">
        <is>
          <t>tonne</t>
        </is>
      </c>
      <c r="D17" s="9" t="n">
        <v>0.02611838542590195</v>
      </c>
      <c r="E17" t="inlineStr">
        <is>
          <t>CA-QC</t>
        </is>
      </c>
      <c r="F17" t="inlineStr">
        <is>
          <t>OWM Facilities</t>
        </is>
      </c>
      <c r="G17" t="inlineStr">
        <is>
          <t>technosphere</t>
        </is>
      </c>
      <c r="H17" s="3" t="n"/>
    </row>
    <row r="18">
      <c r="A18" t="inlineStr">
        <is>
          <t>Composter_casselman</t>
        </is>
      </c>
      <c r="B18" t="inlineStr">
        <is>
          <t>OFMSW</t>
        </is>
      </c>
      <c r="C18" s="7" t="inlineStr">
        <is>
          <t>tonne</t>
        </is>
      </c>
      <c r="D18" s="9" t="n">
        <v>0.07634888015753928</v>
      </c>
      <c r="E18" t="inlineStr">
        <is>
          <t>CA-QC</t>
        </is>
      </c>
      <c r="F18" t="inlineStr">
        <is>
          <t>OWM Facilities</t>
        </is>
      </c>
      <c r="G18" t="inlineStr">
        <is>
          <t>technosphere</t>
        </is>
      </c>
      <c r="H18" s="3" t="n"/>
    </row>
    <row r="19">
      <c r="A19" t="inlineStr">
        <is>
          <t>Composter_complexe enviro st Michel</t>
        </is>
      </c>
      <c r="B19" t="inlineStr">
        <is>
          <t>OFMSW</t>
        </is>
      </c>
      <c r="C19" s="7" t="inlineStr">
        <is>
          <t>tonne</t>
        </is>
      </c>
      <c r="D19" s="9" t="n">
        <v>0.06593766922696574</v>
      </c>
      <c r="E19" t="inlineStr">
        <is>
          <t>CA-QC</t>
        </is>
      </c>
      <c r="F19" t="inlineStr">
        <is>
          <t>OWM Facilities</t>
        </is>
      </c>
      <c r="G19" t="inlineStr">
        <is>
          <t>technosphere</t>
        </is>
      </c>
      <c r="H19" s="3" t="n"/>
    </row>
    <row r="20">
      <c r="A20" t="inlineStr">
        <is>
          <t>Composter_terrebonne</t>
        </is>
      </c>
      <c r="B20" t="inlineStr">
        <is>
          <t>OFMSW</t>
        </is>
      </c>
      <c r="C20" s="7" t="inlineStr">
        <is>
          <t>tonne</t>
        </is>
      </c>
      <c r="D20" s="9" t="n">
        <v>0.04858565100934318</v>
      </c>
      <c r="E20" t="inlineStr">
        <is>
          <t>CA-QC</t>
        </is>
      </c>
      <c r="F20" t="inlineStr">
        <is>
          <t>OWM Facilities</t>
        </is>
      </c>
      <c r="G20" t="inlineStr">
        <is>
          <t>technosphere</t>
        </is>
      </c>
      <c r="H20" s="3" t="n"/>
    </row>
    <row r="21">
      <c r="A21" t="inlineStr">
        <is>
          <t>Composter_saint thomas</t>
        </is>
      </c>
      <c r="B21" t="inlineStr">
        <is>
          <t>OFMSW</t>
        </is>
      </c>
      <c r="C21" s="7" t="inlineStr">
        <is>
          <t>tonne</t>
        </is>
      </c>
      <c r="D21" s="9" t="n">
        <v>0.1561681639586031</v>
      </c>
      <c r="E21" t="inlineStr">
        <is>
          <t>CA-QC</t>
        </is>
      </c>
      <c r="F21" t="inlineStr">
        <is>
          <t>OWM Facilities</t>
        </is>
      </c>
      <c r="G21" t="inlineStr">
        <is>
          <t>technosphere</t>
        </is>
      </c>
      <c r="H21" s="3" t="n"/>
    </row>
    <row r="22">
      <c r="C22" s="3" t="n"/>
      <c r="D22" s="8" t="n"/>
      <c r="E22" s="3" t="n"/>
      <c r="F22" s="3" t="n"/>
      <c r="G22" s="3" t="n"/>
      <c r="H22" s="3" t="n"/>
    </row>
    <row r="23">
      <c r="C23" s="3" t="n"/>
      <c r="D23" s="8" t="n"/>
      <c r="E23" s="3" t="n"/>
      <c r="F23" s="3" t="n"/>
      <c r="G23" s="3" t="n"/>
      <c r="H23" s="3" t="n"/>
    </row>
    <row r="24"/>
    <row r="25"/>
    <row r="26">
      <c r="A26" s="1" t="inlineStr">
        <is>
          <t>Activity</t>
        </is>
      </c>
      <c r="B26" s="2" t="inlineStr">
        <is>
          <t>S2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3" t="inlineStr">
        <is>
          <t>comment</t>
        </is>
      </c>
      <c r="B27" t="inlineStr">
        <is>
          <t>Representative of current situation, AD is not included bc not built yet, only top 3 most used landfills included</t>
        </is>
      </c>
    </row>
    <row r="28">
      <c r="A28" s="4" t="inlineStr">
        <is>
          <t>location</t>
        </is>
      </c>
      <c r="B28" s="5" t="inlineStr">
        <is>
          <t>CA-QC</t>
        </is>
      </c>
    </row>
    <row r="29">
      <c r="A29" s="4" t="inlineStr">
        <is>
          <t>production amount</t>
        </is>
      </c>
      <c r="B29" s="6" t="n">
        <v>1</v>
      </c>
    </row>
    <row r="30">
      <c r="A30" s="4" t="inlineStr">
        <is>
          <t>unit</t>
        </is>
      </c>
      <c r="B30" s="7" t="inlineStr">
        <is>
          <t>tonne</t>
        </is>
      </c>
    </row>
    <row r="31"/>
    <row r="32">
      <c r="A32" s="3" t="inlineStr">
        <is>
          <t>Exchanges</t>
        </is>
      </c>
    </row>
    <row r="33">
      <c r="A33" s="3" t="inlineStr">
        <is>
          <t>name</t>
        </is>
      </c>
      <c r="B33" s="3" t="inlineStr">
        <is>
          <t>reference product</t>
        </is>
      </c>
      <c r="C33" s="3" t="inlineStr">
        <is>
          <t>unit</t>
        </is>
      </c>
      <c r="D33" s="8" t="inlineStr">
        <is>
          <t>amount</t>
        </is>
      </c>
      <c r="E33" s="3" t="inlineStr">
        <is>
          <t>location</t>
        </is>
      </c>
      <c r="F33" s="3" t="inlineStr">
        <is>
          <t>database</t>
        </is>
      </c>
      <c r="G33" s="3" t="inlineStr">
        <is>
          <t>type</t>
        </is>
      </c>
      <c r="H33" s="3" t="inlineStr">
        <is>
          <t>categories</t>
        </is>
      </c>
      <c r="I33" t="inlineStr">
        <is>
          <t>comment</t>
        </is>
      </c>
    </row>
    <row r="34">
      <c r="A34" t="inlineStr">
        <is>
          <t>S2</t>
        </is>
      </c>
      <c r="B34" t="inlineStr">
        <is>
          <t>OFMSW</t>
        </is>
      </c>
      <c r="C34" t="inlineStr">
        <is>
          <t>tonne</t>
        </is>
      </c>
      <c r="D34" t="n">
        <v>1</v>
      </c>
      <c r="E34" t="inlineStr">
        <is>
          <t>CA-QC</t>
        </is>
      </c>
      <c r="F34">
        <f>$B$1</f>
        <v/>
      </c>
      <c r="G34" t="inlineStr">
        <is>
          <t>production</t>
        </is>
      </c>
      <c r="H34" s="3" t="n"/>
    </row>
    <row r="35">
      <c r="A35" t="inlineStr">
        <is>
          <t>Landfill_saint sophie</t>
        </is>
      </c>
      <c r="B35" t="inlineStr">
        <is>
          <t>OFMSW</t>
        </is>
      </c>
      <c r="C35" t="inlineStr">
        <is>
          <t>tonne</t>
        </is>
      </c>
      <c r="D35" s="9" t="n">
        <v>0.2176532118825163</v>
      </c>
      <c r="E35" t="inlineStr">
        <is>
          <t>CA-QC</t>
        </is>
      </c>
      <c r="F35" t="inlineStr">
        <is>
          <t>OWM Facilities</t>
        </is>
      </c>
      <c r="G35" t="inlineStr">
        <is>
          <t>technosphere</t>
        </is>
      </c>
    </row>
    <row r="36">
      <c r="A36" t="inlineStr">
        <is>
          <t>Landfill_terrebonne</t>
        </is>
      </c>
      <c r="B36" t="inlineStr">
        <is>
          <t>OFMSW</t>
        </is>
      </c>
      <c r="C36" t="inlineStr">
        <is>
          <t>tonne</t>
        </is>
      </c>
      <c r="D36" s="9" t="n">
        <v>0.2176532118825163</v>
      </c>
      <c r="E36" t="inlineStr">
        <is>
          <t>CA-QC</t>
        </is>
      </c>
      <c r="F36" t="inlineStr">
        <is>
          <t>OWM Facilities</t>
        </is>
      </c>
      <c r="G36" t="inlineStr">
        <is>
          <t>technosphere</t>
        </is>
      </c>
    </row>
    <row r="37">
      <c r="A37" t="inlineStr">
        <is>
          <t>Landfill_saint_thomas</t>
        </is>
      </c>
      <c r="B37" t="inlineStr">
        <is>
          <t>OFMSW</t>
        </is>
      </c>
      <c r="C37" t="inlineStr">
        <is>
          <t>tonne</t>
        </is>
      </c>
      <c r="D37" s="9" t="n">
        <v>0.2176532118825163</v>
      </c>
      <c r="E37" t="inlineStr">
        <is>
          <t>CA-QC</t>
        </is>
      </c>
      <c r="F37" t="inlineStr">
        <is>
          <t>OWM Facilities</t>
        </is>
      </c>
      <c r="G37" t="inlineStr">
        <is>
          <t>technosphere</t>
        </is>
      </c>
    </row>
    <row r="38">
      <c r="A38" t="inlineStr">
        <is>
          <t>Composter_casselman</t>
        </is>
      </c>
      <c r="B38" t="inlineStr">
        <is>
          <t>OFMSW</t>
        </is>
      </c>
      <c r="C38" t="inlineStr">
        <is>
          <t>tonne</t>
        </is>
      </c>
      <c r="D38" s="9" t="n">
        <v>0.00997285985917923</v>
      </c>
      <c r="E38" t="inlineStr">
        <is>
          <t>CA-QC</t>
        </is>
      </c>
      <c r="F38" t="inlineStr">
        <is>
          <t>OWM Facilities</t>
        </is>
      </c>
      <c r="G38" t="inlineStr">
        <is>
          <t>technosphere</t>
        </is>
      </c>
    </row>
    <row r="39">
      <c r="A39" t="inlineStr">
        <is>
          <t>Composter_complexe enviro st Michel</t>
        </is>
      </c>
      <c r="B39" t="inlineStr">
        <is>
          <t>OFMSW</t>
        </is>
      </c>
      <c r="C39" t="inlineStr">
        <is>
          <t>tonne</t>
        </is>
      </c>
      <c r="D39" s="9" t="n">
        <v>0.05666666666666667</v>
      </c>
      <c r="E39" t="inlineStr">
        <is>
          <t>CA-QC</t>
        </is>
      </c>
      <c r="F39" t="inlineStr">
        <is>
          <t>OWM Facilities</t>
        </is>
      </c>
      <c r="G39" t="inlineStr">
        <is>
          <t>technosphere</t>
        </is>
      </c>
    </row>
    <row r="40">
      <c r="A40" t="inlineStr">
        <is>
          <t>Composter_terrebonne</t>
        </is>
      </c>
      <c r="B40" t="inlineStr">
        <is>
          <t>OFMSW</t>
        </is>
      </c>
      <c r="C40" t="inlineStr">
        <is>
          <t>tonne</t>
        </is>
      </c>
      <c r="D40" s="9" t="n">
        <v>0.05666666666666667</v>
      </c>
      <c r="E40" t="inlineStr">
        <is>
          <t>CA-QC</t>
        </is>
      </c>
      <c r="F40" t="inlineStr">
        <is>
          <t>OWM Facilities</t>
        </is>
      </c>
      <c r="G40" t="inlineStr">
        <is>
          <t>technosphere</t>
        </is>
      </c>
    </row>
    <row r="41">
      <c r="A41" t="inlineStr">
        <is>
          <t>Composter_saint thomas</t>
        </is>
      </c>
      <c r="B41" t="inlineStr">
        <is>
          <t>OFMSW</t>
        </is>
      </c>
      <c r="C41" t="inlineStr">
        <is>
          <t>tonne</t>
        </is>
      </c>
      <c r="D41" s="9" t="n">
        <v>0.05666666666666667</v>
      </c>
      <c r="E41" t="inlineStr">
        <is>
          <t>CA-QC</t>
        </is>
      </c>
      <c r="F41" t="inlineStr">
        <is>
          <t>OWM Facilities</t>
        </is>
      </c>
      <c r="G41" t="inlineStr">
        <is>
          <t>technosphere</t>
        </is>
      </c>
    </row>
    <row r="42">
      <c r="A42" t="inlineStr">
        <is>
          <t>Closed-tunnel Composter</t>
        </is>
      </c>
      <c r="B42" t="inlineStr">
        <is>
          <t>OFMSW</t>
        </is>
      </c>
      <c r="C42" t="inlineStr">
        <is>
          <t>tonne</t>
        </is>
      </c>
      <c r="D42" s="9" t="n">
        <v>0.1662143309863205</v>
      </c>
      <c r="E42" t="inlineStr">
        <is>
          <t>CA-QC</t>
        </is>
      </c>
      <c r="F42" t="inlineStr">
        <is>
          <t>OWM Facilities</t>
        </is>
      </c>
      <c r="G42" t="inlineStr">
        <is>
          <t>technosphere</t>
        </is>
      </c>
    </row>
    <row r="43">
      <c r="D43" s="9" t="n"/>
    </row>
    <row r="44">
      <c r="D44" s="9" t="n"/>
    </row>
    <row r="45">
      <c r="D45" s="9" t="n"/>
    </row>
    <row r="46">
      <c r="D46" s="9" t="n"/>
    </row>
    <row r="47"/>
    <row r="48"/>
    <row r="49"/>
    <row r="50"/>
    <row r="51">
      <c r="A51" s="1" t="inlineStr">
        <is>
          <t>Activity</t>
        </is>
      </c>
      <c r="B51" s="2" t="inlineStr">
        <is>
          <t>S3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3" t="inlineStr">
        <is>
          <t>comment</t>
        </is>
      </c>
      <c r="B52" t="inlineStr">
        <is>
          <t>Ideal, both new facilities operate at capacity, landfill waste is equally shared by three most used landfills</t>
        </is>
      </c>
    </row>
    <row r="53">
      <c r="A53" s="4" t="inlineStr">
        <is>
          <t>location</t>
        </is>
      </c>
      <c r="B53" s="5" t="inlineStr">
        <is>
          <t>CA-QC</t>
        </is>
      </c>
    </row>
    <row r="54">
      <c r="A54" s="4" t="inlineStr">
        <is>
          <t>production amount</t>
        </is>
      </c>
      <c r="B54" s="6" t="n">
        <v>1</v>
      </c>
    </row>
    <row r="55">
      <c r="A55" s="4" t="inlineStr">
        <is>
          <t>unit</t>
        </is>
      </c>
      <c r="B55" s="7" t="inlineStr">
        <is>
          <t>tonne</t>
        </is>
      </c>
    </row>
    <row r="56"/>
    <row r="57">
      <c r="A57" s="3" t="inlineStr">
        <is>
          <t>Exchanges</t>
        </is>
      </c>
    </row>
    <row r="58">
      <c r="A58" s="3" t="inlineStr">
        <is>
          <t>name</t>
        </is>
      </c>
      <c r="B58" s="3" t="inlineStr">
        <is>
          <t>reference product</t>
        </is>
      </c>
      <c r="C58" s="3" t="inlineStr">
        <is>
          <t>unit</t>
        </is>
      </c>
      <c r="D58" s="8" t="inlineStr">
        <is>
          <t>amount</t>
        </is>
      </c>
      <c r="E58" s="3" t="inlineStr">
        <is>
          <t>location</t>
        </is>
      </c>
      <c r="F58" s="3" t="inlineStr">
        <is>
          <t>database</t>
        </is>
      </c>
      <c r="G58" s="3" t="inlineStr">
        <is>
          <t>type</t>
        </is>
      </c>
      <c r="H58" s="3" t="inlineStr">
        <is>
          <t>categories</t>
        </is>
      </c>
      <c r="I58" t="inlineStr">
        <is>
          <t>comment</t>
        </is>
      </c>
    </row>
    <row r="59">
      <c r="A59" t="inlineStr">
        <is>
          <t>S3</t>
        </is>
      </c>
      <c r="B59" t="inlineStr">
        <is>
          <t>OFMSW</t>
        </is>
      </c>
      <c r="C59" t="inlineStr">
        <is>
          <t>tonne</t>
        </is>
      </c>
      <c r="D59" t="n">
        <v>1</v>
      </c>
      <c r="E59" t="inlineStr">
        <is>
          <t>CA-QC</t>
        </is>
      </c>
      <c r="F59">
        <f>$B$1</f>
        <v/>
      </c>
      <c r="G59" t="inlineStr">
        <is>
          <t>production</t>
        </is>
      </c>
      <c r="H59" s="3" t="n"/>
    </row>
    <row r="60">
      <c r="A60" t="inlineStr">
        <is>
          <t>Landfill_saint sophie</t>
        </is>
      </c>
      <c r="B60" t="inlineStr">
        <is>
          <t>OFMSW</t>
        </is>
      </c>
      <c r="C60" t="inlineStr">
        <is>
          <t>tonne</t>
        </is>
      </c>
      <c r="D60" s="9" t="n">
        <v>0.2176532118825163</v>
      </c>
      <c r="E60" t="inlineStr">
        <is>
          <t>CA-QC</t>
        </is>
      </c>
      <c r="F60" t="inlineStr">
        <is>
          <t>OWM Facilities</t>
        </is>
      </c>
      <c r="G60" t="inlineStr">
        <is>
          <t>technosphere</t>
        </is>
      </c>
    </row>
    <row r="61">
      <c r="A61" t="inlineStr">
        <is>
          <t>Landfill_terrebonne</t>
        </is>
      </c>
      <c r="B61" t="inlineStr">
        <is>
          <t>OFMSW</t>
        </is>
      </c>
      <c r="C61" t="inlineStr">
        <is>
          <t>tonne</t>
        </is>
      </c>
      <c r="D61" s="9" t="n">
        <v>0.2176532118825163</v>
      </c>
      <c r="E61" t="inlineStr">
        <is>
          <t>CA-QC</t>
        </is>
      </c>
      <c r="F61" t="inlineStr">
        <is>
          <t>OWM Facilities</t>
        </is>
      </c>
      <c r="G61" t="inlineStr">
        <is>
          <t>technosphere</t>
        </is>
      </c>
    </row>
    <row r="62">
      <c r="A62" t="inlineStr">
        <is>
          <t>Landfill_saint_thomas</t>
        </is>
      </c>
      <c r="B62" t="inlineStr">
        <is>
          <t>OFMSW</t>
        </is>
      </c>
      <c r="C62" t="inlineStr">
        <is>
          <t>tonne</t>
        </is>
      </c>
      <c r="D62" s="9" t="n">
        <v>0.2176532118825163</v>
      </c>
      <c r="E62" t="inlineStr">
        <is>
          <t>CA-QC</t>
        </is>
      </c>
      <c r="F62" t="inlineStr">
        <is>
          <t>OWM Facilities</t>
        </is>
      </c>
      <c r="G62" t="inlineStr">
        <is>
          <t>technosphere</t>
        </is>
      </c>
    </row>
    <row r="63">
      <c r="A63" t="inlineStr">
        <is>
          <t>Closed-tunnel Composter</t>
        </is>
      </c>
      <c r="B63" t="inlineStr">
        <is>
          <t>OFMSW</t>
        </is>
      </c>
      <c r="C63" t="inlineStr">
        <is>
          <t>tonne</t>
        </is>
      </c>
      <c r="D63" s="9" t="n">
        <v>0.1662143309863205</v>
      </c>
      <c r="E63" t="inlineStr">
        <is>
          <t>CA-QC</t>
        </is>
      </c>
      <c r="F63" t="inlineStr">
        <is>
          <t>OWM Facilities</t>
        </is>
      </c>
      <c r="G63" t="inlineStr">
        <is>
          <t>technosphere</t>
        </is>
      </c>
    </row>
    <row r="64">
      <c r="A64" t="inlineStr">
        <is>
          <t>AD</t>
        </is>
      </c>
      <c r="B64" t="inlineStr">
        <is>
          <t>OFMSW</t>
        </is>
      </c>
      <c r="C64" t="inlineStr">
        <is>
          <t>tonne</t>
        </is>
      </c>
      <c r="D64" s="9" t="n">
        <v>0.1994571971835846</v>
      </c>
      <c r="E64" t="inlineStr">
        <is>
          <t>CA-QC</t>
        </is>
      </c>
      <c r="F64" t="inlineStr">
        <is>
          <t>OWM Facilities</t>
        </is>
      </c>
      <c r="G64" t="inlineStr">
        <is>
          <t>technosphere</t>
        </is>
      </c>
    </row>
    <row r="65">
      <c r="D65" s="9" t="n"/>
    </row>
    <row r="66">
      <c r="D66" s="9" t="n"/>
    </row>
    <row r="67">
      <c r="D67" s="9" t="n"/>
    </row>
    <row r="68">
      <c r="D68" s="9" t="n"/>
    </row>
    <row r="69">
      <c r="A69" t="inlineStr">
        <is>
          <t>Activity</t>
        </is>
      </c>
      <c r="B69" t="inlineStr">
        <is>
          <t>Test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comment</t>
        </is>
      </c>
      <c r="B70" t="inlineStr">
        <is>
          <t>Test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location</t>
        </is>
      </c>
      <c r="B71" t="inlineStr">
        <is>
          <t>CA-QC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production amount</t>
        </is>
      </c>
      <c r="B72" t="inlineStr">
        <is>
          <t>1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unit</t>
        </is>
      </c>
      <c r="B73" t="inlineStr">
        <is>
          <t>tonne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Exchanges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name</t>
        </is>
      </c>
      <c r="B76" t="inlineStr">
        <is>
          <t>reference product</t>
        </is>
      </c>
      <c r="C76" t="inlineStr">
        <is>
          <t>unit</t>
        </is>
      </c>
      <c r="D76" t="inlineStr">
        <is>
          <t>amount</t>
        </is>
      </c>
      <c r="E76" t="inlineStr">
        <is>
          <t>location</t>
        </is>
      </c>
      <c r="F76" t="inlineStr">
        <is>
          <t>database</t>
        </is>
      </c>
      <c r="G76" t="inlineStr">
        <is>
          <t>type</t>
        </is>
      </c>
      <c r="H76" t="inlineStr">
        <is>
          <t>categories</t>
        </is>
      </c>
      <c r="I76" t="inlineStr">
        <is>
          <t>comment</t>
        </is>
      </c>
    </row>
    <row r="77">
      <c r="A77" t="inlineStr">
        <is>
          <t>Test</t>
        </is>
      </c>
      <c r="B77" t="inlineStr">
        <is>
          <t>OFMSW</t>
        </is>
      </c>
      <c r="C77" t="inlineStr">
        <is>
          <t>tonne</t>
        </is>
      </c>
      <c r="D77" t="inlineStr">
        <is>
          <t>1</t>
        </is>
      </c>
      <c r="E77" t="inlineStr">
        <is>
          <t>CA-QC</t>
        </is>
      </c>
      <c r="F77" t="inlineStr">
        <is>
          <t>Scenarios</t>
        </is>
      </c>
      <c r="G77" t="inlineStr">
        <is>
          <t>production</t>
        </is>
      </c>
      <c r="H77" t="inlineStr"/>
      <c r="I77" t="inlineStr"/>
    </row>
    <row r="78">
      <c r="A78" t="inlineStr">
        <is>
          <t>Closed-tunnel Composter</t>
        </is>
      </c>
      <c r="B78" t="inlineStr">
        <is>
          <t>OFMSW</t>
        </is>
      </c>
      <c r="C78" t="inlineStr">
        <is>
          <t>tonne</t>
        </is>
      </c>
      <c r="D78" t="n">
        <v>0.5</v>
      </c>
      <c r="E78" t="inlineStr">
        <is>
          <t>CA-QC</t>
        </is>
      </c>
      <c r="F78" t="inlineStr">
        <is>
          <t>OWM Facilities</t>
        </is>
      </c>
      <c r="G78" t="inlineStr">
        <is>
          <t>technosphere</t>
        </is>
      </c>
      <c r="H78" t="inlineStr"/>
      <c r="I78" t="inlineStr"/>
    </row>
    <row r="79">
      <c r="A79" t="inlineStr">
        <is>
          <t>AD</t>
        </is>
      </c>
      <c r="B79" t="inlineStr">
        <is>
          <t>OFMSW</t>
        </is>
      </c>
      <c r="C79" t="inlineStr">
        <is>
          <t>tonne</t>
        </is>
      </c>
      <c r="D79" t="n">
        <v>0.5</v>
      </c>
      <c r="E79" t="inlineStr">
        <is>
          <t>CA-QC</t>
        </is>
      </c>
      <c r="F79" t="inlineStr">
        <is>
          <t>OWM Facilities</t>
        </is>
      </c>
      <c r="G79" t="inlineStr">
        <is>
          <t>technosphere</t>
        </is>
      </c>
      <c r="H79" t="inlineStr"/>
      <c r="I79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C7" sqref="C7"/>
    </sheetView>
  </sheetViews>
  <sheetFormatPr baseColWidth="10" defaultColWidth="8.83203125" defaultRowHeight="15"/>
  <cols>
    <col width="33" customWidth="1" min="1" max="1"/>
    <col width="13.5" customWidth="1" min="3" max="3"/>
    <col width="27.5" customWidth="1" min="7" max="7"/>
  </cols>
  <sheetData>
    <row r="1">
      <c r="C1" t="inlineStr">
        <is>
          <t>Unit</t>
        </is>
      </c>
    </row>
    <row r="2">
      <c r="A2" t="inlineStr">
        <is>
          <t>Total Organic Waste Generation</t>
        </is>
      </c>
      <c r="B2" s="10">
        <f>B8+C8</f>
        <v/>
      </c>
      <c r="C2" t="inlineStr">
        <is>
          <t>t</t>
        </is>
      </c>
      <c r="G2" s="11" t="inlineStr">
        <is>
          <t>Assume</t>
        </is>
      </c>
    </row>
    <row r="3">
      <c r="A3" t="inlineStr">
        <is>
          <t>Scope</t>
        </is>
      </c>
      <c r="B3" t="inlineStr">
        <is>
          <t>Island of Montreal</t>
        </is>
      </c>
      <c r="G3" t="inlineStr">
        <is>
          <t xml:space="preserve">new facilities operate at capacity, </t>
        </is>
      </c>
    </row>
    <row r="4">
      <c r="G4" t="inlineStr">
        <is>
          <t>remaining waste is sent proportionally to remaining facilities</t>
        </is>
      </c>
    </row>
    <row r="5">
      <c r="A5" s="12" t="n"/>
      <c r="B5" s="12" t="inlineStr">
        <is>
          <t>Landfilled</t>
        </is>
      </c>
      <c r="C5" s="12" t="inlineStr">
        <is>
          <t>Composted</t>
        </is>
      </c>
      <c r="D5" s="12" t="inlineStr">
        <is>
          <t>Units</t>
        </is>
      </c>
      <c r="G5" s="12" t="inlineStr">
        <is>
          <t>Facility</t>
        </is>
      </c>
      <c r="H5" s="12" t="n"/>
      <c r="I5" s="12" t="inlineStr">
        <is>
          <t>Units</t>
        </is>
      </c>
      <c r="J5" s="12" t="inlineStr">
        <is>
          <t>Percent of total organic waste</t>
        </is>
      </c>
      <c r="K5" s="12" t="n"/>
      <c r="L5" s="12" t="n"/>
    </row>
    <row r="6">
      <c r="A6" t="inlineStr">
        <is>
          <t>Total Waste</t>
        </is>
      </c>
      <c r="B6" t="n">
        <v>467669</v>
      </c>
      <c r="C6" t="n">
        <v>434981</v>
      </c>
      <c r="D6" t="inlineStr">
        <is>
          <t>t</t>
        </is>
      </c>
      <c r="G6" t="inlineStr">
        <is>
          <t>Closed-tunnel Composter</t>
        </is>
      </c>
      <c r="H6" t="n">
        <v>50000</v>
      </c>
      <c r="I6" t="inlineStr">
        <is>
          <t>t</t>
        </is>
      </c>
      <c r="J6" s="9">
        <f>H6/B2</f>
        <v/>
      </c>
    </row>
    <row r="7">
      <c r="A7" t="inlineStr">
        <is>
          <t>% Organic</t>
        </is>
      </c>
      <c r="B7" s="13" t="n">
        <v>0.42</v>
      </c>
      <c r="C7" s="13" t="n">
        <v>0.24</v>
      </c>
      <c r="G7" t="inlineStr">
        <is>
          <t>AD</t>
        </is>
      </c>
      <c r="H7" t="n">
        <v>60000</v>
      </c>
      <c r="I7" t="inlineStr">
        <is>
          <t>t</t>
        </is>
      </c>
      <c r="J7" s="9">
        <f>H7/B2</f>
        <v/>
      </c>
    </row>
    <row r="8">
      <c r="A8" t="inlineStr">
        <is>
          <t>Total Organic</t>
        </is>
      </c>
      <c r="B8" s="10">
        <f>B6*B7</f>
        <v/>
      </c>
      <c r="C8" s="10">
        <f>C6*C7</f>
        <v/>
      </c>
      <c r="D8" t="inlineStr">
        <is>
          <t>t</t>
        </is>
      </c>
      <c r="G8" t="inlineStr">
        <is>
          <t>Composter_casselman</t>
        </is>
      </c>
      <c r="H8" t="n">
        <v>3000</v>
      </c>
      <c r="I8" t="inlineStr">
        <is>
          <t>t</t>
        </is>
      </c>
      <c r="J8" s="9">
        <f>H8/B2</f>
        <v/>
      </c>
    </row>
    <row r="9">
      <c r="B9" s="10" t="n"/>
      <c r="C9" s="10" t="n"/>
      <c r="G9" t="inlineStr">
        <is>
          <t>total</t>
        </is>
      </c>
      <c r="H9">
        <f>SUM(H6:H8)</f>
        <v/>
      </c>
      <c r="I9" t="inlineStr">
        <is>
          <t>t</t>
        </is>
      </c>
      <c r="J9" s="9">
        <f>SUM(J6:J7)</f>
        <v/>
      </c>
    </row>
    <row r="10">
      <c r="G10" t="inlineStr">
        <is>
          <t>remaining S3</t>
        </is>
      </c>
      <c r="H10" s="10">
        <f>B2-H9</f>
        <v/>
      </c>
      <c r="I10" t="inlineStr">
        <is>
          <t>t</t>
        </is>
      </c>
      <c r="J10" s="9">
        <f>H10/B2</f>
        <v/>
      </c>
    </row>
    <row r="11">
      <c r="G11" t="inlineStr">
        <is>
          <t>remaining S2</t>
        </is>
      </c>
      <c r="H11" s="10">
        <f>B2-(H6+H8)</f>
        <v/>
      </c>
      <c r="I11" t="inlineStr">
        <is>
          <t>t</t>
        </is>
      </c>
      <c r="J11">
        <f>H11/B2</f>
        <v/>
      </c>
    </row>
    <row r="12">
      <c r="A12" s="3" t="inlineStr">
        <is>
          <t>S1 Production Mix</t>
        </is>
      </c>
      <c r="B12" t="inlineStr">
        <is>
          <t>comment</t>
        </is>
      </c>
      <c r="C12" t="inlineStr">
        <is>
          <t>BAU 2022</t>
        </is>
      </c>
      <c r="G12" s="3" t="inlineStr">
        <is>
          <t>S3 Production Mix</t>
        </is>
      </c>
    </row>
    <row r="13">
      <c r="A13" s="12" t="inlineStr">
        <is>
          <t>Facility</t>
        </is>
      </c>
      <c r="B13" s="12" t="inlineStr">
        <is>
          <t>% of waste received</t>
        </is>
      </c>
      <c r="C13" s="12" t="inlineStr">
        <is>
          <t>amount of organics received</t>
        </is>
      </c>
      <c r="D13" s="12" t="inlineStr">
        <is>
          <t>Units</t>
        </is>
      </c>
      <c r="E13" s="12" t="inlineStr">
        <is>
          <t>% of total</t>
        </is>
      </c>
      <c r="G13" s="12" t="inlineStr">
        <is>
          <t>Facility</t>
        </is>
      </c>
      <c r="H13" s="12" t="inlineStr">
        <is>
          <t>amount of organics received</t>
        </is>
      </c>
      <c r="I13" s="12" t="inlineStr">
        <is>
          <t>Units</t>
        </is>
      </c>
      <c r="J13" s="12" t="inlineStr">
        <is>
          <t>% of total</t>
        </is>
      </c>
    </row>
    <row r="14">
      <c r="A14" t="inlineStr">
        <is>
          <t>Landfill_saint sophie</t>
        </is>
      </c>
      <c r="B14" s="13" t="n">
        <v>0.19</v>
      </c>
      <c r="C14" s="10">
        <f>$B$8*B14</f>
        <v/>
      </c>
      <c r="D14" t="inlineStr">
        <is>
          <t>t</t>
        </is>
      </c>
      <c r="E14" s="9">
        <f>C14/$B$2</f>
        <v/>
      </c>
      <c r="G14" t="inlineStr">
        <is>
          <t>Landfill_saint sophie</t>
        </is>
      </c>
      <c r="H14" s="9">
        <f>$H$10*E14</f>
        <v/>
      </c>
      <c r="I14" t="inlineStr">
        <is>
          <t>t</t>
        </is>
      </c>
    </row>
    <row r="15">
      <c r="A15" t="inlineStr">
        <is>
          <t>Landfill_terrebonne</t>
        </is>
      </c>
      <c r="B15" s="13" t="n">
        <v>0.32</v>
      </c>
      <c r="C15" s="10">
        <f>$B$8*B15</f>
        <v/>
      </c>
      <c r="D15" t="inlineStr">
        <is>
          <t>t</t>
        </is>
      </c>
      <c r="E15" s="9">
        <f>C15/$B$2</f>
        <v/>
      </c>
      <c r="G15" t="inlineStr">
        <is>
          <t>Landfill_terrebonne</t>
        </is>
      </c>
      <c r="H15" s="9">
        <f>$H$10*E15</f>
        <v/>
      </c>
      <c r="I15" t="inlineStr">
        <is>
          <t>t</t>
        </is>
      </c>
    </row>
    <row r="16">
      <c r="A16" t="inlineStr">
        <is>
          <t>Landfill_saint_thomas</t>
        </is>
      </c>
      <c r="B16" s="13" t="n">
        <v>0.38</v>
      </c>
      <c r="C16" s="10">
        <f>$B$8*B16</f>
        <v/>
      </c>
      <c r="D16" t="inlineStr">
        <is>
          <t>t</t>
        </is>
      </c>
      <c r="E16" s="9">
        <f>C16/$B$2</f>
        <v/>
      </c>
      <c r="G16" t="inlineStr">
        <is>
          <t>Landfill_saint_thomas</t>
        </is>
      </c>
      <c r="H16" s="9">
        <f>$H$10*E16</f>
        <v/>
      </c>
      <c r="I16" t="inlineStr">
        <is>
          <t>t</t>
        </is>
      </c>
    </row>
    <row r="17">
      <c r="A17" t="inlineStr">
        <is>
          <t>Landfill_lachute</t>
        </is>
      </c>
      <c r="B17" s="13" t="n">
        <v>0.04</v>
      </c>
      <c r="C17" s="10">
        <f>$B$8*B17</f>
        <v/>
      </c>
      <c r="D17" t="inlineStr">
        <is>
          <t>t</t>
        </is>
      </c>
      <c r="E17" s="14">
        <f>C17/$B$2</f>
        <v/>
      </c>
      <c r="G17" t="inlineStr">
        <is>
          <t>Landfill_lachute</t>
        </is>
      </c>
      <c r="H17" s="9">
        <f>$H$10*E17</f>
        <v/>
      </c>
      <c r="I17" t="inlineStr">
        <is>
          <t>t</t>
        </is>
      </c>
    </row>
    <row r="18">
      <c r="A18" t="inlineStr">
        <is>
          <t>Landfill_st-nicephore</t>
        </is>
      </c>
      <c r="B18" s="13" t="n">
        <v>0.03</v>
      </c>
      <c r="C18" s="10">
        <f>$B$8*B18</f>
        <v/>
      </c>
      <c r="D18" t="inlineStr">
        <is>
          <t>t</t>
        </is>
      </c>
      <c r="E18" s="14">
        <f>C18/$B$2</f>
        <v/>
      </c>
      <c r="G18" t="inlineStr">
        <is>
          <t>Landfill_st-nicephore</t>
        </is>
      </c>
      <c r="H18" s="9">
        <f>$H$10*E18</f>
        <v/>
      </c>
      <c r="I18" t="inlineStr">
        <is>
          <t>t</t>
        </is>
      </c>
    </row>
    <row r="19">
      <c r="A19" t="inlineStr">
        <is>
          <t>Landfill_cecile_de_milton</t>
        </is>
      </c>
      <c r="B19" s="13" t="n">
        <v>0.04</v>
      </c>
      <c r="C19" s="10">
        <f>$B$8*B19</f>
        <v/>
      </c>
      <c r="D19" t="inlineStr">
        <is>
          <t>t</t>
        </is>
      </c>
      <c r="E19" s="14">
        <f>C19/$B$2</f>
        <v/>
      </c>
      <c r="G19" t="inlineStr">
        <is>
          <t>Landfill_cecile_de_milton</t>
        </is>
      </c>
      <c r="H19" s="9">
        <f>$H$10*E19</f>
        <v/>
      </c>
      <c r="I19" t="inlineStr">
        <is>
          <t>t</t>
        </is>
      </c>
    </row>
    <row r="20">
      <c r="A20" t="inlineStr">
        <is>
          <t>Composter_casselman</t>
        </is>
      </c>
      <c r="B20" s="13" t="n">
        <v>0.22</v>
      </c>
      <c r="C20" s="10">
        <f>$C$8*B20</f>
        <v/>
      </c>
      <c r="D20" t="inlineStr">
        <is>
          <t>t</t>
        </is>
      </c>
      <c r="E20" s="9">
        <f>C20/$B$2</f>
        <v/>
      </c>
      <c r="G20" t="inlineStr">
        <is>
          <t>Composter_casselman</t>
        </is>
      </c>
      <c r="H20" s="9">
        <f>$H$10*E20</f>
        <v/>
      </c>
      <c r="I20" t="inlineStr">
        <is>
          <t>t</t>
        </is>
      </c>
    </row>
    <row r="21">
      <c r="A21" t="inlineStr">
        <is>
          <t>Composter_complexe enviro st Michel</t>
        </is>
      </c>
      <c r="B21" s="13" t="n">
        <v>0.19</v>
      </c>
      <c r="C21" s="10">
        <f>$C$8*B21</f>
        <v/>
      </c>
      <c r="D21" t="inlineStr">
        <is>
          <t>t</t>
        </is>
      </c>
      <c r="E21" s="9">
        <f>C21/$B$2</f>
        <v/>
      </c>
      <c r="G21" t="inlineStr">
        <is>
          <t>Composter_complexe enviro st Michel</t>
        </is>
      </c>
      <c r="H21" s="9">
        <f>$H$10*E21</f>
        <v/>
      </c>
      <c r="I21" t="inlineStr">
        <is>
          <t>t</t>
        </is>
      </c>
    </row>
    <row r="22">
      <c r="A22" t="inlineStr">
        <is>
          <t>Composter_terrebonne</t>
        </is>
      </c>
      <c r="B22" s="13" t="n">
        <v>0.14</v>
      </c>
      <c r="C22" s="10">
        <f>$C$8*B22</f>
        <v/>
      </c>
      <c r="D22" t="inlineStr">
        <is>
          <t>t</t>
        </is>
      </c>
      <c r="E22" s="9">
        <f>C22/$B$2</f>
        <v/>
      </c>
      <c r="G22" t="inlineStr">
        <is>
          <t>Composter_terrebonne</t>
        </is>
      </c>
      <c r="H22" s="9">
        <f>$H$10*E22</f>
        <v/>
      </c>
      <c r="I22" t="inlineStr">
        <is>
          <t>t</t>
        </is>
      </c>
    </row>
    <row r="23">
      <c r="A23" t="inlineStr">
        <is>
          <t>Composter_saint thomas</t>
        </is>
      </c>
      <c r="B23" s="13" t="n">
        <v>0.45</v>
      </c>
      <c r="C23" s="10">
        <f>$C$8*B23</f>
        <v/>
      </c>
      <c r="D23" t="inlineStr">
        <is>
          <t>t</t>
        </is>
      </c>
      <c r="E23" s="9">
        <f>C23/$B$2</f>
        <v/>
      </c>
      <c r="G23" t="inlineStr">
        <is>
          <t>Composter_saint thomas</t>
        </is>
      </c>
      <c r="H23" s="9">
        <f>$H$10*E23</f>
        <v/>
      </c>
      <c r="I23" t="inlineStr">
        <is>
          <t>t</t>
        </is>
      </c>
    </row>
    <row r="24">
      <c r="A24" t="inlineStr">
        <is>
          <t>total</t>
        </is>
      </c>
      <c r="B24" s="13" t="n"/>
      <c r="C24" s="10">
        <f>SUM(C14:C23)</f>
        <v/>
      </c>
      <c r="E24" s="9">
        <f>C24/$B$2</f>
        <v/>
      </c>
      <c r="G24" t="inlineStr">
        <is>
          <t>Closed-tunnel Composter</t>
        </is>
      </c>
      <c r="H24" s="9">
        <f>H6</f>
        <v/>
      </c>
      <c r="I24" t="inlineStr">
        <is>
          <t>t</t>
        </is>
      </c>
    </row>
    <row r="25">
      <c r="A25" s="3" t="inlineStr">
        <is>
          <t>S2 Production Mix</t>
        </is>
      </c>
      <c r="G25" t="inlineStr">
        <is>
          <t>AD</t>
        </is>
      </c>
      <c r="H25" s="9">
        <f>H7</f>
        <v/>
      </c>
      <c r="I25" t="inlineStr">
        <is>
          <t>t</t>
        </is>
      </c>
    </row>
    <row r="26">
      <c r="A26" t="inlineStr">
        <is>
          <t>Landfill_saint sophie</t>
        </is>
      </c>
      <c r="B26" s="9">
        <f>C26/$B$2</f>
        <v/>
      </c>
      <c r="C26">
        <f>$B$2*($H$30/3)</f>
        <v/>
      </c>
      <c r="G26" t="inlineStr">
        <is>
          <t>total</t>
        </is>
      </c>
      <c r="H26" s="10">
        <f>SUM(H14:H25)</f>
        <v/>
      </c>
      <c r="I26" t="inlineStr">
        <is>
          <t>t</t>
        </is>
      </c>
      <c r="J26">
        <f>H26/$B$2</f>
        <v/>
      </c>
      <c r="K26" t="inlineStr">
        <is>
          <t>*doesn't mass balance</t>
        </is>
      </c>
    </row>
    <row r="27">
      <c r="A27" t="inlineStr">
        <is>
          <t>Landfill_terrebonne</t>
        </is>
      </c>
      <c r="B27" s="9">
        <f>C27/$B$2</f>
        <v/>
      </c>
      <c r="C27">
        <f>$B$2*($H$30/3)</f>
        <v/>
      </c>
    </row>
    <row r="28">
      <c r="A28" t="inlineStr">
        <is>
          <t>Landfill_saint_thomas</t>
        </is>
      </c>
      <c r="B28" s="9">
        <f>C28/$B$2</f>
        <v/>
      </c>
      <c r="C28">
        <f>$B$2*($H$30/3)</f>
        <v/>
      </c>
    </row>
    <row r="29">
      <c r="A29" t="inlineStr">
        <is>
          <t>Composter_casselman</t>
        </is>
      </c>
      <c r="B29" s="9">
        <f>J8</f>
        <v/>
      </c>
      <c r="C29">
        <f>H8</f>
        <v/>
      </c>
      <c r="G29" t="inlineStr">
        <is>
          <t>S2</t>
        </is>
      </c>
    </row>
    <row r="30">
      <c r="A30" t="inlineStr">
        <is>
          <t>Composter_complexe enviro st Michel</t>
        </is>
      </c>
      <c r="B30">
        <f>C30/$B$2</f>
        <v/>
      </c>
      <c r="C30">
        <f>$B$2*(0.17/3)</f>
        <v/>
      </c>
      <c r="G30" t="inlineStr">
        <is>
          <t>Landfills % OWM</t>
        </is>
      </c>
      <c r="H30" s="9">
        <f>B8/B2</f>
        <v/>
      </c>
    </row>
    <row r="31">
      <c r="A31" t="inlineStr">
        <is>
          <t>Composter_terrebonne</t>
        </is>
      </c>
      <c r="B31">
        <f>C31/$B$2</f>
        <v/>
      </c>
      <c r="C31">
        <f>$B$2*(0.17/3)</f>
        <v/>
      </c>
      <c r="G31" t="inlineStr">
        <is>
          <t>Compost % OWM</t>
        </is>
      </c>
      <c r="H31" s="15">
        <f>C8/B2</f>
        <v/>
      </c>
      <c r="I31" s="15" t="n"/>
    </row>
    <row r="32">
      <c r="A32" t="inlineStr">
        <is>
          <t>Composter_saint thomas</t>
        </is>
      </c>
      <c r="B32">
        <f>C32/$B$2</f>
        <v/>
      </c>
      <c r="C32">
        <f>$B$2*(0.17/3)</f>
        <v/>
      </c>
      <c r="G32" t="inlineStr">
        <is>
          <t>compost remaining S2</t>
        </is>
      </c>
      <c r="H32" s="9">
        <f>H31-(B29+B33)</f>
        <v/>
      </c>
    </row>
    <row r="33">
      <c r="A33" t="inlineStr">
        <is>
          <t>Closed-tunnel Composter</t>
        </is>
      </c>
      <c r="B33" s="9">
        <f>J6</f>
        <v/>
      </c>
      <c r="C33">
        <f>H6</f>
        <v/>
      </c>
      <c r="G33" t="inlineStr">
        <is>
          <t>compost remaing s3</t>
        </is>
      </c>
      <c r="H33" s="15">
        <f>H31-(B39+B40)</f>
        <v/>
      </c>
    </row>
    <row r="34">
      <c r="A34" t="inlineStr">
        <is>
          <t>total</t>
        </is>
      </c>
      <c r="B34" s="9">
        <f>SUM(B26:B33)</f>
        <v/>
      </c>
      <c r="C34" s="10">
        <f>SUM(C26:C33)</f>
        <v/>
      </c>
      <c r="D34" t="inlineStr">
        <is>
          <t>*doesn’t mass balance…</t>
        </is>
      </c>
    </row>
    <row r="35">
      <c r="A35" s="3" t="inlineStr">
        <is>
          <t>S3 Production Mix</t>
        </is>
      </c>
    </row>
    <row r="36">
      <c r="A36" t="inlineStr">
        <is>
          <t>Landfill_saint sophie</t>
        </is>
      </c>
      <c r="B36">
        <f>C36/$B$2</f>
        <v/>
      </c>
      <c r="C36">
        <f>$B$2*($H$30/3)</f>
        <v/>
      </c>
    </row>
    <row r="37">
      <c r="A37" t="inlineStr">
        <is>
          <t>Landfill_terrebonne</t>
        </is>
      </c>
      <c r="B37">
        <f>C37/$B$2</f>
        <v/>
      </c>
      <c r="C37">
        <f>$B$2*($H$30/3)</f>
        <v/>
      </c>
    </row>
    <row r="38">
      <c r="A38" t="inlineStr">
        <is>
          <t>Landfill_saint_thomas</t>
        </is>
      </c>
      <c r="B38">
        <f>C38/$B$2</f>
        <v/>
      </c>
      <c r="C38">
        <f>$B$2*($H$30/3)</f>
        <v/>
      </c>
    </row>
    <row r="39">
      <c r="A39" t="inlineStr">
        <is>
          <t>Closed-tunnel Composter</t>
        </is>
      </c>
      <c r="B39">
        <f>C39/B2</f>
        <v/>
      </c>
      <c r="C39">
        <f>H6</f>
        <v/>
      </c>
    </row>
    <row r="40">
      <c r="A40" t="inlineStr">
        <is>
          <t>AD</t>
        </is>
      </c>
      <c r="B40">
        <f>C40/B2</f>
        <v/>
      </c>
      <c r="C40">
        <f>H7</f>
        <v/>
      </c>
    </row>
    <row r="41">
      <c r="A41" t="inlineStr">
        <is>
          <t>total</t>
        </is>
      </c>
      <c r="B41">
        <f>SUM(B36:B40)</f>
        <v/>
      </c>
      <c r="C41" s="10">
        <f>SUM(C36:C40)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Sadie MacDonald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2025-07-21T16:14:26Z</dcterms:modified>
  <cp:lastModifiedBy>Yonatan Bensimon</cp:lastModifiedBy>
</cp:coreProperties>
</file>